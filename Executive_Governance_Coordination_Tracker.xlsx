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np\Documents\Portfolio Work\Executive Governance Coordination Tracker\"/>
    </mc:Choice>
  </mc:AlternateContent>
  <xr:revisionPtr revIDLastSave="0" documentId="13_ncr:1_{F3FEEA86-49D0-480C-BE0E-88DA606DC300}" xr6:coauthVersionLast="47" xr6:coauthVersionMax="47" xr10:uidLastSave="{00000000-0000-0000-0000-000000000000}"/>
  <bookViews>
    <workbookView xWindow="-120" yWindow="-120" windowWidth="29040" windowHeight="15720" tabRatio="756" activeTab="5" xr2:uid="{7EEE5BB3-E392-4FBC-A274-56A62B6D62DF}"/>
  </bookViews>
  <sheets>
    <sheet name="Executive_Dashboard" sheetId="6" r:id="rId1"/>
    <sheet name="Master_Tracker" sheetId="1" r:id="rId2"/>
    <sheet name="Action_Tracker" sheetId="2" r:id="rId3"/>
    <sheet name="Meeting_Calendar" sheetId="3" r:id="rId4"/>
    <sheet name="Committee_Register" sheetId="4" r:id="rId5"/>
    <sheet name="List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0" i="2" l="1"/>
  <c r="N30" i="2" s="1"/>
  <c r="M29" i="2"/>
  <c r="N29" i="2" s="1"/>
  <c r="M28" i="2"/>
  <c r="N28" i="2" s="1"/>
  <c r="B17" i="6"/>
  <c r="B16" i="6"/>
  <c r="B15" i="6"/>
  <c r="B14" i="6"/>
  <c r="N6" i="2"/>
  <c r="N11" i="2"/>
  <c r="N15" i="2"/>
  <c r="N18" i="2"/>
  <c r="N21" i="2"/>
  <c r="N27" i="2"/>
  <c r="M3" i="2"/>
  <c r="N3" i="2" s="1"/>
  <c r="M4" i="2"/>
  <c r="N4" i="2" s="1"/>
  <c r="M5" i="2"/>
  <c r="N5" i="2" s="1"/>
  <c r="M6" i="2"/>
  <c r="M7" i="2"/>
  <c r="N7" i="2" s="1"/>
  <c r="M8" i="2"/>
  <c r="N8" i="2" s="1"/>
  <c r="M9" i="2"/>
  <c r="N9" i="2" s="1"/>
  <c r="M10" i="2"/>
  <c r="N10" i="2" s="1"/>
  <c r="M11" i="2"/>
  <c r="M12" i="2"/>
  <c r="N12" i="2" s="1"/>
  <c r="M13" i="2"/>
  <c r="N13" i="2" s="1"/>
  <c r="M14" i="2"/>
  <c r="N14" i="2" s="1"/>
  <c r="M15" i="2"/>
  <c r="M16" i="2"/>
  <c r="N16" i="2" s="1"/>
  <c r="M17" i="2"/>
  <c r="N17" i="2" s="1"/>
  <c r="M18" i="2"/>
  <c r="M19" i="2"/>
  <c r="N19" i="2" s="1"/>
  <c r="M20" i="2"/>
  <c r="N20" i="2" s="1"/>
  <c r="M21" i="2"/>
  <c r="M22" i="2"/>
  <c r="N22" i="2" s="1"/>
  <c r="M23" i="2"/>
  <c r="N23" i="2" s="1"/>
  <c r="M24" i="2"/>
  <c r="N24" i="2" s="1"/>
  <c r="M25" i="2"/>
  <c r="N25" i="2" s="1"/>
  <c r="M26" i="2"/>
  <c r="N26" i="2" s="1"/>
  <c r="M27" i="2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P11" i="1"/>
  <c r="Q11" i="1" s="1"/>
  <c r="P12" i="1"/>
  <c r="Q12" i="1" s="1"/>
  <c r="P13" i="1"/>
  <c r="Q13" i="1" s="1"/>
  <c r="P14" i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P22" i="1"/>
  <c r="Q22" i="1" s="1"/>
  <c r="Q10" i="1"/>
  <c r="Q14" i="1"/>
  <c r="Q2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C10" i="6"/>
  <c r="C9" i="6"/>
  <c r="C8" i="6"/>
  <c r="C7" i="6"/>
  <c r="C6" i="6"/>
  <c r="C5" i="6"/>
  <c r="B24" i="6" l="1"/>
  <c r="A34" i="6" a="1"/>
  <c r="A34" i="6" s="1"/>
  <c r="B23" i="6"/>
  <c r="C1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<sst xmlns="http://schemas.openxmlformats.org/spreadsheetml/2006/main" count="697" uniqueCount="263">
  <si>
    <t>Meeting_ID</t>
  </si>
  <si>
    <t>Committee_Name</t>
  </si>
  <si>
    <t>Meeting_Type</t>
  </si>
  <si>
    <t>Meeting_Date</t>
  </si>
  <si>
    <t>Meeting_Time</t>
  </si>
  <si>
    <t>Meeting_Status</t>
  </si>
  <si>
    <t>Agenda_Deadline</t>
  </si>
  <si>
    <t>Agenda_Status</t>
  </si>
  <si>
    <t>Papers_Issued</t>
  </si>
  <si>
    <t>Minutes_Status</t>
  </si>
  <si>
    <t>Action_Log_Status</t>
  </si>
  <si>
    <t>Meeting_Chair</t>
  </si>
  <si>
    <t>Coordinator</t>
  </si>
  <si>
    <t>Next_Meeting_Date</t>
  </si>
  <si>
    <t>Archive_Status</t>
  </si>
  <si>
    <t>Notes</t>
  </si>
  <si>
    <t>Council</t>
  </si>
  <si>
    <t>Senior Management Team</t>
  </si>
  <si>
    <t>Governance &amp; Risk Committee</t>
  </si>
  <si>
    <t>Academic Affairs Committee</t>
  </si>
  <si>
    <t>Operations &amp; Planning Committee</t>
  </si>
  <si>
    <t>Finance &amp; Resources Committee</t>
  </si>
  <si>
    <t>Strategic Development Group</t>
  </si>
  <si>
    <t>COUNCIL-2026-001</t>
  </si>
  <si>
    <t>SMT-2026-001</t>
  </si>
  <si>
    <t>GRC-2026-001</t>
  </si>
  <si>
    <t>AAC-2026-001</t>
  </si>
  <si>
    <t>OPS-2026-001</t>
  </si>
  <si>
    <t>FRC-2026-001</t>
  </si>
  <si>
    <t>SDG-2026-001</t>
  </si>
  <si>
    <t>Council Meeting</t>
  </si>
  <si>
    <t>SMT Meeting</t>
  </si>
  <si>
    <t>Committee Meeting</t>
  </si>
  <si>
    <t>Operational Meeting</t>
  </si>
  <si>
    <t>Strategy Meeting</t>
  </si>
  <si>
    <t>Scheduled</t>
  </si>
  <si>
    <t>In Progress</t>
  </si>
  <si>
    <t>Planned</t>
  </si>
  <si>
    <t>Completed</t>
  </si>
  <si>
    <t>Pending</t>
  </si>
  <si>
    <t>Not Started</t>
  </si>
  <si>
    <t>Yes</t>
  </si>
  <si>
    <t>No</t>
  </si>
  <si>
    <t>Drafted</t>
  </si>
  <si>
    <t>Vice Chancellor</t>
  </si>
  <si>
    <t>Chief Operating Officer</t>
  </si>
  <si>
    <t>Director of Governance</t>
  </si>
  <si>
    <t>Dean of Academic Affairs</t>
  </si>
  <si>
    <t>Head of Operations</t>
  </si>
  <si>
    <t>Chief Financial Officer</t>
  </si>
  <si>
    <t>Director of Strategy</t>
  </si>
  <si>
    <t>Executive Office</t>
  </si>
  <si>
    <t>Governance Office</t>
  </si>
  <si>
    <t>Academic Office</t>
  </si>
  <si>
    <t>Operations Office</t>
  </si>
  <si>
    <t>Finance Office</t>
  </si>
  <si>
    <t>Strategy Office</t>
  </si>
  <si>
    <t>Archived</t>
  </si>
  <si>
    <t>Minutes approved and archived</t>
  </si>
  <si>
    <t>Agenda awaiting final approval</t>
  </si>
  <si>
    <t>Papers due from committee members</t>
  </si>
  <si>
    <t>Meeting room confirmation pending</t>
  </si>
  <si>
    <t>Operational update required</t>
  </si>
  <si>
    <t>Finance reports to be circulated</t>
  </si>
  <si>
    <t>Strategy papers in preparation</t>
  </si>
  <si>
    <t>Executive Governance &amp; Coordination Tracking System</t>
  </si>
  <si>
    <t>Action_ID</t>
  </si>
  <si>
    <t>Action_Description</t>
  </si>
  <si>
    <t>Action_Owner</t>
  </si>
  <si>
    <t>Date_Assigned</t>
  </si>
  <si>
    <t>Due_Date</t>
  </si>
  <si>
    <t>Action_Status</t>
  </si>
  <si>
    <t>Priority</t>
  </si>
  <si>
    <t>Progress_Notes</t>
  </si>
  <si>
    <t>Date_Completed</t>
  </si>
  <si>
    <t>ACT-2026-001</t>
  </si>
  <si>
    <t>Update governance policy register</t>
  </si>
  <si>
    <t>High</t>
  </si>
  <si>
    <t>Draft revisions under review</t>
  </si>
  <si>
    <t>ACT-2026-002</t>
  </si>
  <si>
    <t>Prepare operational performance report</t>
  </si>
  <si>
    <t>Awaiting departmental updates</t>
  </si>
  <si>
    <t>ACT-2026-003</t>
  </si>
  <si>
    <t>Review risk management framework</t>
  </si>
  <si>
    <t>Medium</t>
  </si>
  <si>
    <t>Risk register updates in progress</t>
  </si>
  <si>
    <t>ACT-2026-004</t>
  </si>
  <si>
    <t>Circulate revised academic calendar</t>
  </si>
  <si>
    <t>Calendar approved and issued</t>
  </si>
  <si>
    <t>ACT-2026-005</t>
  </si>
  <si>
    <t>Confirm meeting room allocation</t>
  </si>
  <si>
    <t>Low</t>
  </si>
  <si>
    <t>Awaiting facilities confirmation</t>
  </si>
  <si>
    <t>ACT-2026-006</t>
  </si>
  <si>
    <t>Prepare quarterly finance summary</t>
  </si>
  <si>
    <t>Financial data compilation ongoing</t>
  </si>
  <si>
    <t>ACT-2026-007</t>
  </si>
  <si>
    <t>Develop strategic planning presentation</t>
  </si>
  <si>
    <t>Initial planning meeting scheduled</t>
  </si>
  <si>
    <t>Governance Action Tracker</t>
  </si>
  <si>
    <t>Annual Governance Calendar</t>
  </si>
  <si>
    <t>Month</t>
  </si>
  <si>
    <t>Key_Deadline</t>
  </si>
  <si>
    <t>Status</t>
  </si>
  <si>
    <t>Agenda Deadline</t>
  </si>
  <si>
    <t>Quarterly governance review</t>
  </si>
  <si>
    <t>Papers Circulation</t>
  </si>
  <si>
    <t>Operational performance update</t>
  </si>
  <si>
    <t>Risk Register Review</t>
  </si>
  <si>
    <t>Annual compliance review</t>
  </si>
  <si>
    <t>Academic Reports Due</t>
  </si>
  <si>
    <t>Curriculum updates</t>
  </si>
  <si>
    <t>Facilities Update</t>
  </si>
  <si>
    <t>Resource planning review</t>
  </si>
  <si>
    <t>Budget Papers Due</t>
  </si>
  <si>
    <t>Quarterly finance review</t>
  </si>
  <si>
    <t>Strategy Paper Submission</t>
  </si>
  <si>
    <t>Long-term planning discussion</t>
  </si>
  <si>
    <t>Committee Register</t>
  </si>
  <si>
    <t>Committee_Type</t>
  </si>
  <si>
    <t>Chair</t>
  </si>
  <si>
    <t>Meeting_Frequency</t>
  </si>
  <si>
    <t>Reporting_To</t>
  </si>
  <si>
    <t>Governing Body</t>
  </si>
  <si>
    <t>Quarterly</t>
  </si>
  <si>
    <t>Board of Trustees</t>
  </si>
  <si>
    <t>Active</t>
  </si>
  <si>
    <t>Executive Management</t>
  </si>
  <si>
    <t>Monthly</t>
  </si>
  <si>
    <t>Governance Committee</t>
  </si>
  <si>
    <t>Academic Committee</t>
  </si>
  <si>
    <t>Operational Committee</t>
  </si>
  <si>
    <t>Finance Committee</t>
  </si>
  <si>
    <t>Strategy Committee</t>
  </si>
  <si>
    <t>Bi-Monthly</t>
  </si>
  <si>
    <t>Yes_No</t>
  </si>
  <si>
    <t>Cancelled</t>
  </si>
  <si>
    <t>Deferred</t>
  </si>
  <si>
    <t>Approved</t>
  </si>
  <si>
    <t>Overdue</t>
  </si>
  <si>
    <t>Dropdown Lists</t>
  </si>
  <si>
    <t>Closed_Out</t>
  </si>
  <si>
    <t>Total Actions</t>
  </si>
  <si>
    <t>Overdue Actions</t>
  </si>
  <si>
    <t>High Priority Actions</t>
  </si>
  <si>
    <t>Medium Priority Actions</t>
  </si>
  <si>
    <t>Low Priority Actions</t>
  </si>
  <si>
    <t>Completed Actions</t>
  </si>
  <si>
    <t>Completion Rate</t>
  </si>
  <si>
    <t>KPI</t>
  </si>
  <si>
    <t>VALUE</t>
  </si>
  <si>
    <t>COUNCIL-2026-002</t>
  </si>
  <si>
    <t>Council actions closed out</t>
  </si>
  <si>
    <t>SMT-2026-002</t>
  </si>
  <si>
    <t>Operational update under review</t>
  </si>
  <si>
    <t>GRC-2026-002</t>
  </si>
  <si>
    <t>Risk register review scheduled</t>
  </si>
  <si>
    <t>AAC-2026-002</t>
  </si>
  <si>
    <t>Academic policy review planned</t>
  </si>
  <si>
    <t>OPS-2026-002</t>
  </si>
  <si>
    <t>Operational actions completed</t>
  </si>
  <si>
    <t>FRC-2026-002</t>
  </si>
  <si>
    <t>Budget revisions in progress</t>
  </si>
  <si>
    <t>SDG-2026-002</t>
  </si>
  <si>
    <t>Strategy papers awaiting approval</t>
  </si>
  <si>
    <t>COUNCIL-2026-003</t>
  </si>
  <si>
    <t>Council planning cycle initiated</t>
  </si>
  <si>
    <t>SMT-2026-003</t>
  </si>
  <si>
    <t>Department submissions outstanding</t>
  </si>
  <si>
    <t>GRC-2026-003</t>
  </si>
  <si>
    <t>Committee agenda in preparation</t>
  </si>
  <si>
    <t>AAC-2026-003</t>
  </si>
  <si>
    <t>Academic papers under review</t>
  </si>
  <si>
    <t>OPS-2026-003</t>
  </si>
  <si>
    <t>Operational review completed</t>
  </si>
  <si>
    <t>FRC-2026-003</t>
  </si>
  <si>
    <t>Financial reports being finalised</t>
  </si>
  <si>
    <t>ACT-2026-008</t>
  </si>
  <si>
    <t>Review governance framework update</t>
  </si>
  <si>
    <t>Governance revisions underway</t>
  </si>
  <si>
    <t>ACT-2026-009</t>
  </si>
  <si>
    <t>Prepare monthly operational report</t>
  </si>
  <si>
    <t>Report circulated to SMT</t>
  </si>
  <si>
    <t>ACT-2026-010</t>
  </si>
  <si>
    <t>Update institutional risk register</t>
  </si>
  <si>
    <t>Risk owners being consulted</t>
  </si>
  <si>
    <t>ACT-2026-011</t>
  </si>
  <si>
    <t>Review programme approval submissions</t>
  </si>
  <si>
    <t>Documentation under review</t>
  </si>
  <si>
    <t>ACT-2026-012</t>
  </si>
  <si>
    <t>Confirm facilities upgrade schedule</t>
  </si>
  <si>
    <t>Awaiting supplier confirmation</t>
  </si>
  <si>
    <t>ACT-2026-013</t>
  </si>
  <si>
    <t>Prepare revised budget summary</t>
  </si>
  <si>
    <t>Updated budget approved</t>
  </si>
  <si>
    <t>ACT-2026-014</t>
  </si>
  <si>
    <t>Draft strategic implementation roadmap</t>
  </si>
  <si>
    <t>Initial framework drafted</t>
  </si>
  <si>
    <t>ACT-2026-015</t>
  </si>
  <si>
    <t>Coordinate annual governance review</t>
  </si>
  <si>
    <t>Awaiting governance papers</t>
  </si>
  <si>
    <t>ACT-2026-016</t>
  </si>
  <si>
    <t>Compile departmental KPI updates</t>
  </si>
  <si>
    <t>KPI report finalised</t>
  </si>
  <si>
    <t>ACT-2026-017</t>
  </si>
  <si>
    <t>Review compliance monitoring report</t>
  </si>
  <si>
    <t>Compliance review ongoing</t>
  </si>
  <si>
    <t>ACT-2026-018</t>
  </si>
  <si>
    <t>Update academic policy tracker</t>
  </si>
  <si>
    <t>Policy updates outstanding</t>
  </si>
  <si>
    <t>ACT-2026-019</t>
  </si>
  <si>
    <t>Review operational continuity plan</t>
  </si>
  <si>
    <t>Continuity review completed</t>
  </si>
  <si>
    <t>ACT-2026-020</t>
  </si>
  <si>
    <t>Prepare procurement update report</t>
  </si>
  <si>
    <t>Procurement figures being reviewed</t>
  </si>
  <si>
    <t>ACT-2026-021</t>
  </si>
  <si>
    <t>SDG-2026-003</t>
  </si>
  <si>
    <t>Develop governance reporting template</t>
  </si>
  <si>
    <t>Template planning stage</t>
  </si>
  <si>
    <t>ACT-2026-022</t>
  </si>
  <si>
    <t>COUNCIL-2026-004</t>
  </si>
  <si>
    <t>Review board action tracker</t>
  </si>
  <si>
    <t>Action updates being consolidated</t>
  </si>
  <si>
    <t>ACT-2026-023</t>
  </si>
  <si>
    <t>SMT-2026-004</t>
  </si>
  <si>
    <t>Prepare quarterly staffing report</t>
  </si>
  <si>
    <t>Human Resources</t>
  </si>
  <si>
    <t>Awaiting HR metrics</t>
  </si>
  <si>
    <t>ACT-2026-024</t>
  </si>
  <si>
    <t>GRC-2026-004</t>
  </si>
  <si>
    <t>Review internal audit recommendations</t>
  </si>
  <si>
    <t>Audit actions under review</t>
  </si>
  <si>
    <t>ACT-2026-025</t>
  </si>
  <si>
    <t>AAC-2026-004</t>
  </si>
  <si>
    <t>Coordinate curriculum review schedule</t>
  </si>
  <si>
    <t>Curriculum schedule issued</t>
  </si>
  <si>
    <t>Executive Governance Dashboard</t>
  </si>
  <si>
    <t>Governance &amp; Coordination KPI Overview</t>
  </si>
  <si>
    <t>CL-2026-001</t>
  </si>
  <si>
    <t>CL-2026-002</t>
  </si>
  <si>
    <t>CL-2026-003</t>
  </si>
  <si>
    <t>Days_To_Meeting</t>
  </si>
  <si>
    <t>Governance_RAG</t>
  </si>
  <si>
    <t>Pack_Issue_Date</t>
  </si>
  <si>
    <t>Archive_Date</t>
  </si>
  <si>
    <t>Days_Overdue</t>
  </si>
  <si>
    <t>Action_RAG</t>
  </si>
  <si>
    <t>Action Status Overview</t>
  </si>
  <si>
    <t>Action Timing</t>
  </si>
  <si>
    <t>On Time</t>
  </si>
  <si>
    <t>Action Delivery Performance</t>
  </si>
  <si>
    <t>Upcoming Governance Meetings</t>
  </si>
  <si>
    <t>ACT-2026-026</t>
  </si>
  <si>
    <t>Finalise governance risk escalation framework</t>
  </si>
  <si>
    <t>Escalation review delayed pending approvals</t>
  </si>
  <si>
    <t>ACT-2026-027</t>
  </si>
  <si>
    <t>Prepare governance reporting framework draft</t>
  </si>
  <si>
    <t>Draft framework not yet initiated</t>
  </si>
  <si>
    <t>ACT-2026-028</t>
  </si>
  <si>
    <t>OPS-2026-004</t>
  </si>
  <si>
    <t>Review governance document retention schedule</t>
  </si>
  <si>
    <t>Awaiting records management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</si>
</sst>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mmm\ yyyy"/>
  </numFmts>
  <fonts count="9">
    <font>
      <sz val="11"/>
      <color theme="1"/>
      <name val="Aptos Narrow"/>
      <family val="2"/>
      <scheme val="minor"/>
    </font>
    <font>
      <b/>
      <sz val="18"/>
      <color theme="0"/>
      <name val="Calibri"/>
      <family val="2"/>
    </font>
    <font>
      <sz val="10"/>
      <color theme="1"/>
      <name val="Arial Unicode MS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4"/>
      <color theme="7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5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81"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2750E"/>
      </font>
    </dxf>
    <dxf>
      <font>
        <color rgb="FFFFC000"/>
      </font>
    </dxf>
    <dxf>
      <font>
        <b/>
        <i val="0"/>
        <color theme="2" tint="-0.24994659260841701"/>
      </font>
    </dxf>
    <dxf>
      <font>
        <b/>
        <i val="0"/>
        <color rgb="FFC00000"/>
      </font>
      <fill>
        <patternFill patternType="none">
          <bgColor auto="1"/>
        </patternFill>
      </fill>
    </dxf>
    <dxf>
      <font>
        <b/>
        <i val="0"/>
        <color theme="5" tint="-0.24994659260841701"/>
      </font>
      <fill>
        <patternFill patternType="none">
          <bgColor auto="1"/>
        </patternFill>
      </fill>
    </dxf>
    <dxf>
      <font>
        <b/>
        <i val="0"/>
        <color theme="9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color rgb="FFC00000"/>
      </font>
      <fill>
        <patternFill patternType="none">
          <bgColor auto="1"/>
        </patternFill>
      </fill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\ mmm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mmm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\ mmm\ yyyy"/>
      <alignment horizontal="center" vertical="bottom" textRotation="0" wrapText="0" indent="0" justifyLastLine="0" shrinkToFit="0" readingOrder="0"/>
    </dxf>
    <dxf>
      <numFmt numFmtId="164" formatCode="dd\ mmm\ 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\ mmm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\ mmm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numFmt numFmtId="164" formatCode="dd\ mmm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dd\ mmm\ 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dd\ mmm\ yyyy"/>
      <alignment horizontal="center" vertical="center" textRotation="0" wrapText="0" indent="0" justifyLastLine="0" shrinkToFit="0" readingOrder="0"/>
    </dxf>
    <dxf>
      <numFmt numFmtId="164" formatCode="dd\ mmm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dd\ mmm\ yyyy"/>
      <alignment horizontal="center" vertical="center" textRotation="0" wrapText="0" indent="0" justifyLastLine="0" shrinkToFit="0" readingOrder="0"/>
    </dxf>
    <dxf>
      <numFmt numFmtId="164" formatCode="dd\ mmm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2750E"/>
      <color rgb="FF156082"/>
      <color rgb="FFFFD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4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986590728446527E-2"/>
          <c:y val="0.13258805612261429"/>
          <c:w val="0.90297462817147855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Executive_Dashboard!$B$13</c:f>
              <c:strCache>
                <c:ptCount val="1"/>
                <c:pt idx="0">
                  <c:v>Action Status Overview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Executive_Dashboard!$A$14:$A$17</c:f>
              <c:strCache>
                <c:ptCount val="4"/>
                <c:pt idx="0">
                  <c:v>Completed</c:v>
                </c:pt>
                <c:pt idx="1">
                  <c:v>In Progress</c:v>
                </c:pt>
                <c:pt idx="2">
                  <c:v>Pending</c:v>
                </c:pt>
                <c:pt idx="3">
                  <c:v>Not Started</c:v>
                </c:pt>
              </c:strCache>
            </c:strRef>
          </c:cat>
          <c:val>
            <c:numRef>
              <c:f>Executive_Dashboard!$B$14:$B$17</c:f>
              <c:numCache>
                <c:formatCode>General</c:formatCode>
                <c:ptCount val="4"/>
                <c:pt idx="0">
                  <c:v>6</c:v>
                </c:pt>
                <c:pt idx="1">
                  <c:v>11</c:v>
                </c:pt>
                <c:pt idx="2">
                  <c:v>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0-4690-8BA9-36A0B7FB6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899247"/>
        <c:axId val="701911727"/>
      </c:barChart>
      <c:catAx>
        <c:axId val="70189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11727"/>
        <c:crosses val="autoZero"/>
        <c:auto val="1"/>
        <c:lblAlgn val="ctr"/>
        <c:lblOffset val="100"/>
        <c:noMultiLvlLbl val="0"/>
      </c:catAx>
      <c:valAx>
        <c:axId val="70191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899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4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Executive_Dashboard!$B$22</c:f>
              <c:strCache>
                <c:ptCount val="1"/>
                <c:pt idx="0">
                  <c:v>Action Delivery Performance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Executive_Dashboard!$A$23:$A$24</c:f>
              <c:strCache>
                <c:ptCount val="2"/>
                <c:pt idx="0">
                  <c:v>Overdue</c:v>
                </c:pt>
                <c:pt idx="1">
                  <c:v>On Time</c:v>
                </c:pt>
              </c:strCache>
            </c:strRef>
          </c:cat>
          <c:val>
            <c:numRef>
              <c:f>Executive_Dashboard!$B$23:$B$24</c:f>
              <c:numCache>
                <c:formatCode>General</c:formatCode>
                <c:ptCount val="2"/>
                <c:pt idx="0">
                  <c:v>3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F-4F1C-A533-E47CC996F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4738399"/>
        <c:axId val="984736479"/>
      </c:barChart>
      <c:catAx>
        <c:axId val="98473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36479"/>
        <c:crosses val="autoZero"/>
        <c:auto val="1"/>
        <c:lblAlgn val="ctr"/>
        <c:lblOffset val="100"/>
        <c:noMultiLvlLbl val="0"/>
      </c:catAx>
      <c:valAx>
        <c:axId val="98473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3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27215</xdr:colOff>
      <xdr:row>12</xdr:row>
      <xdr:rowOff>10024</xdr:rowOff>
    </xdr:from>
    <xdr:to>
      <xdr:col>4</xdr:col>
      <xdr:colOff>99792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18C56E-A7A3-6566-8BC5-72C26E87B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24267</xdr:colOff>
      <xdr:row>21</xdr:row>
      <xdr:rowOff>0</xdr:rowOff>
    </xdr:from>
    <xdr:to>
      <xdr:col>4</xdr:col>
      <xdr:colOff>108858</xdr:colOff>
      <xdr:row>29</xdr:row>
      <xdr:rowOff>190497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73ECC7-44C9-D4C1-1921-1923F7682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66591D7-60B0-41FB-A4F7-99ACA5A6EA61}" name="Table9" displayName="Table9" ref="B4:C11" totalsRowShown="0" headerRowDxfId="15" dataDxfId="14">
  <autoFilter ref="B4:C11" xr:uid="{866591D7-60B0-41FB-A4F7-99ACA5A6EA61}"/>
  <tableColumns count="2">
    <tableColumn id="1" xr3:uid="{2451D071-9349-4A6E-A516-ACC71B504743}" name="KPI" dataDxfId="13"/>
    <tableColumn id="2" xr3:uid="{47052BB9-B629-492B-8392-EE4B91F720A5}" name="VALUE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448E29-5920-4EA5-9F98-5D923767C4E8}" name="Table2" displayName="Table2" ref="A2:T22" totalsRowShown="0" headerRowDxfId="64" dataDxfId="63">
  <autoFilter ref="A2:T22" xr:uid="{D2448E29-5920-4EA5-9F98-5D923767C4E8}"/>
  <tableColumns count="20">
    <tableColumn id="1" xr3:uid="{4D8A687F-38A2-47BA-9F90-78B2EDDBFAEF}" name="Meeting_ID" dataDxfId="62"/>
    <tableColumn id="2" xr3:uid="{1466B6CC-0697-443E-9DF2-BA76B87166CC}" name="Committee_Name" dataDxfId="61"/>
    <tableColumn id="3" xr3:uid="{C72F576E-076B-4308-9FAA-BA3C2E1CCC04}" name="Meeting_Type" dataDxfId="60"/>
    <tableColumn id="4" xr3:uid="{4595CAB0-7A47-4224-8965-970F33379997}" name="Meeting_Date" dataDxfId="59"/>
    <tableColumn id="5" xr3:uid="{2E5FBD59-F4B8-4626-8BE2-3D4BED0AF2B5}" name="Meeting_Time" dataDxfId="58"/>
    <tableColumn id="6" xr3:uid="{8ABEAA08-1A30-48FC-9711-BC79BD86C947}" name="Meeting_Status" dataDxfId="57"/>
    <tableColumn id="7" xr3:uid="{1B6490EE-3A54-4EB6-B035-59EBB2B37179}" name="Agenda_Deadline" dataDxfId="56"/>
    <tableColumn id="8" xr3:uid="{AA6B0192-0D1B-43BD-A864-EC95B455B1CF}" name="Agenda_Status" dataDxfId="55"/>
    <tableColumn id="9" xr3:uid="{FC995C7C-1D6D-4DDD-89BE-E4FE0AC994EA}" name="Papers_Issued" dataDxfId="54"/>
    <tableColumn id="10" xr3:uid="{456C62C4-FEE8-4FBA-95E6-0BD7136390A8}" name="Minutes_Status" dataDxfId="53"/>
    <tableColumn id="11" xr3:uid="{A6EA81E5-990E-44C3-B407-C6E0D8193A24}" name="Action_Log_Status" dataDxfId="52"/>
    <tableColumn id="12" xr3:uid="{26EBB4E1-D0FE-405D-BF75-B80959ABC213}" name="Meeting_Chair" dataDxfId="51"/>
    <tableColumn id="13" xr3:uid="{3E0854BE-6E83-4331-A087-CB1BBBC23969}" name="Coordinator" dataDxfId="50"/>
    <tableColumn id="14" xr3:uid="{67956EF6-AC2C-450B-8E46-915D7140DC52}" name="Next_Meeting_Date" dataDxfId="49"/>
    <tableColumn id="15" xr3:uid="{2433F2CF-5939-441F-9338-DEF9F5EB1C8F}" name="Archive_Status" dataDxfId="48"/>
    <tableColumn id="17" xr3:uid="{65498751-F0B5-4939-8228-AB177F077C8E}" name="Days_To_Meeting" dataDxfId="47">
      <calculatedColumnFormula>Table2[[#This Row],[Meeting_Date]]-TODAY()</calculatedColumnFormula>
    </tableColumn>
    <tableColumn id="18" xr3:uid="{1CEE6A66-BC10-4F47-89DE-1A3373C6914F}" name="Governance_RAG" dataDxfId="46">
      <calculatedColumnFormula>IF(Table2[[#This Row],[Meeting_Status]]="Completed","Complete",IF(Table2[[#This Row],[Days_To_Meeting]]&lt;0,"Red",IF(Table2[[#This Row],[Days_To_Meeting]]&lt;=7,"Amber","Green")))</calculatedColumnFormula>
    </tableColumn>
    <tableColumn id="19" xr3:uid="{BFA02EF4-32EB-46D4-8474-695E0F7B34B3}" name="Pack_Issue_Date" dataDxfId="45">
      <calculatedColumnFormula>Table2[[#This Row],[Meeting_Date]]-5</calculatedColumnFormula>
    </tableColumn>
    <tableColumn id="20" xr3:uid="{8DFBAFAD-7F36-47C7-86DA-D61995E4FC51}" name="Archive_Date" dataDxfId="44">
      <calculatedColumnFormula>IF(Table2[[#This Row],[Meeting_Status]]="Completed",TODAY(),"")</calculatedColumnFormula>
    </tableColumn>
    <tableColumn id="16" xr3:uid="{6D864200-88DD-43F0-BC01-91FBEE0340EF}" name="Notes" dataDxfId="4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C479C3-632D-4145-ACF2-26A877B8C710}" name="ActionTracker" displayName="ActionTracker" ref="A2:N30" totalsRowShown="0" headerRowDxfId="80" dataDxfId="79">
  <autoFilter ref="A2:N30" xr:uid="{9FC479C3-632D-4145-ACF2-26A877B8C710}"/>
  <tableColumns count="14">
    <tableColumn id="1" xr3:uid="{ED0701D7-0BF7-41FD-A47B-1C717385FB08}" name="Action_ID" dataDxfId="78"/>
    <tableColumn id="2" xr3:uid="{93EFAE3F-7756-4234-9BDA-F388AE49CFF7}" name="Meeting_ID" dataDxfId="77"/>
    <tableColumn id="3" xr3:uid="{45C59E33-706E-4921-95D8-B68124EE1F9D}" name="Committee_Name" dataDxfId="76"/>
    <tableColumn id="4" xr3:uid="{F8D55829-EB14-4C1D-B9E0-9CA92C943053}" name="Action_Description" dataDxfId="75"/>
    <tableColumn id="5" xr3:uid="{570A3036-1773-4659-8129-F32581D038AA}" name="Action_Owner" dataDxfId="74"/>
    <tableColumn id="6" xr3:uid="{6E086806-4AA6-43D7-BA40-CF8D8E2F8484}" name="Date_Assigned" dataDxfId="73"/>
    <tableColumn id="7" xr3:uid="{79D9200C-A6BD-42E1-BF39-7F5C504B2E19}" name="Due_Date" dataDxfId="72"/>
    <tableColumn id="8" xr3:uid="{70FB5B54-7E44-456E-9D60-4010A3A9406E}" name="Action_Status" dataDxfId="71"/>
    <tableColumn id="9" xr3:uid="{81F515B9-1EC9-4081-A682-75161E263A18}" name="Priority" dataDxfId="70"/>
    <tableColumn id="10" xr3:uid="{625BAC71-CB2C-4AD2-B3D0-E4E77DD7B066}" name="Progress_Notes" dataDxfId="69"/>
    <tableColumn id="12" xr3:uid="{8DFCEDCA-4C82-4594-A311-55D9F7B01EA6}" name="Date_Completed" dataDxfId="68"/>
    <tableColumn id="13" xr3:uid="{5E05B46C-0337-4C26-A41C-18A8AE6B7EA3}" name="Closed_Out" dataDxfId="67"/>
    <tableColumn id="14" xr3:uid="{B50F7BE7-866B-45B7-8D78-1695AF7E3D9F}" name="Days_Overdue" dataDxfId="66">
      <calculatedColumnFormula>IF(ActionTracker[[#This Row],[Action_Status]]="Completed","",IF(TODAY()&gt;ActionTracker[[#This Row],[Due_Date]],TODAY()-ActionTracker[[#This Row],[Due_Date]],""))</calculatedColumnFormula>
    </tableColumn>
    <tableColumn id="11" xr3:uid="{A32D597E-C5C6-41D1-A820-BA91BD249D79}" name="Action_RAG" dataDxfId="65">
      <calculatedColumnFormula>IF(ActionTracker[[#This Row],[Action_Status]]="Completed","Complete",IF(ActionTracker[[#This Row],[Days_Overdue]]="","Green","Red"))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0D997C-9A02-479A-9F0A-DC991A1AAEE8}" name="Table5" displayName="Table5" ref="A2:H9" totalsRowShown="0" headerRowDxfId="42" dataDxfId="41">
  <autoFilter ref="A2:H9" xr:uid="{7A0D997C-9A02-479A-9F0A-DC991A1AAEE8}"/>
  <tableColumns count="8">
    <tableColumn id="1" xr3:uid="{8003F390-B6C9-418F-920F-6AEDE6BDAC9D}" name="Month" dataDxfId="40"/>
    <tableColumn id="2" xr3:uid="{39E5B460-6DE5-452E-82BB-7B2DFE5E2930}" name="Committee_Name" dataDxfId="39"/>
    <tableColumn id="3" xr3:uid="{5C4CC2A5-7C90-4B2A-BC1A-CD7A92F14EEF}" name="Meeting_Date" dataDxfId="38"/>
    <tableColumn id="4" xr3:uid="{50399DC6-4211-468E-BD09-C156CF41CCDD}" name="Meeting_Type" dataDxfId="37"/>
    <tableColumn id="5" xr3:uid="{8BABA780-BE6F-4A23-8021-A60A3DC8F7B1}" name="Key_Deadline" dataDxfId="36"/>
    <tableColumn id="6" xr3:uid="{1DA72585-DA7B-47D0-BCAE-63DDF37C2F1F}" name="Status" dataDxfId="35"/>
    <tableColumn id="7" xr3:uid="{5DC07F62-4445-46E7-8C94-3277350A4900}" name="Coordinator" dataDxfId="34"/>
    <tableColumn id="8" xr3:uid="{C1BA8DAF-5572-492B-AA4B-693750DC75C6}" name="Notes" dataDxfId="3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5AF0BB-B2D9-4C08-90EB-1CFFBDF02032}" name="Table7" displayName="Table7" ref="A2:G9" totalsRowShown="0" headerRowDxfId="32" dataDxfId="31">
  <autoFilter ref="A2:G9" xr:uid="{315AF0BB-B2D9-4C08-90EB-1CFFBDF02032}"/>
  <tableColumns count="7">
    <tableColumn id="1" xr3:uid="{872F027A-3D80-47D0-9CFD-F563EB86E064}" name="Committee_Name" dataDxfId="30"/>
    <tableColumn id="2" xr3:uid="{7630C526-05D0-4590-B6EF-95FE88EB8A1D}" name="Committee_Type" dataDxfId="29"/>
    <tableColumn id="3" xr3:uid="{46E8BCC2-5E80-45EC-9904-A46A41E6D521}" name="Chair" dataDxfId="28"/>
    <tableColumn id="4" xr3:uid="{306600A0-0F9D-478F-B3CD-DECB8F2B2F64}" name="Coordinator" dataDxfId="27"/>
    <tableColumn id="5" xr3:uid="{337209BA-6FD3-45E2-96A8-E9448BB96AD3}" name="Meeting_Frequency" dataDxfId="26"/>
    <tableColumn id="6" xr3:uid="{CD9E9AC0-6EAA-447D-9EDF-DB0F4D1C47F7}" name="Reporting_To" dataDxfId="25"/>
    <tableColumn id="7" xr3:uid="{A035118B-8DC0-4AE6-A3D9-B0E978BCF46E}" name="Status" dataDxfId="2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D290B6-EEC0-41CC-9D99-960D1B9174C0}" name="Table8" displayName="Table8" ref="A2:F8" totalsRowShown="0" headerRowDxfId="23" dataDxfId="22">
  <autoFilter ref="A2:F8" xr:uid="{14D290B6-EEC0-41CC-9D99-960D1B9174C0}"/>
  <tableColumns count="6">
    <tableColumn id="1" xr3:uid="{477073AA-B53B-40B8-A7EC-10DD25139568}" name="Meeting_Status" dataDxfId="21"/>
    <tableColumn id="2" xr3:uid="{3330DC51-179E-435B-ACF5-AFE5E730B70A}" name="Agenda_Status" dataDxfId="20"/>
    <tableColumn id="3" xr3:uid="{ACE9CAA8-C820-4FDA-8D31-158927796B5F}" name="Minutes_Status" dataDxfId="19"/>
    <tableColumn id="4" xr3:uid="{08216ED9-E3AE-4659-9DAC-6D3F97FAA5C8}" name="Action_Status" dataDxfId="18"/>
    <tableColumn id="5" xr3:uid="{63DF0922-A2D9-46C1-94A7-44840822A377}" name="Priority" dataDxfId="17"/>
    <tableColumn id="6" xr3:uid="{47E7BB67-9544-4D31-B4D9-5C609CFDEED8}" name="Yes_No" dataDxfId="1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F175E-757E-4031-BCFB-B8CDAAC41001}">
  <sheetPr>
    <tabColor rgb="FF0070C0"/>
    <pageSetUpPr autoPageBreaks="0"/>
  </sheetPr>
  <dimension ref="A1:E38"/>
  <sheetViews>
    <sheetView zoomScale="84" zoomScaleNormal="84" workbookViewId="0">
      <selection activeCell="E2" sqref="E2"/>
    </sheetView>
  </sheetViews>
  <sheetFormatPr defaultRowHeight="15"/>
  <cols>
    <col min="1" max="1" width="13.28515625" style="3" bestFit="1" customWidth="1"/>
    <col min="2" max="2" width="31.42578125" bestFit="1" customWidth="1"/>
    <col min="3" max="3" width="22" customWidth="1"/>
    <col min="4" max="5" width="16.7109375" bestFit="1" customWidth="1"/>
  </cols>
  <sheetData>
    <row r="1" spans="1:5" ht="27.75" customHeight="1">
      <c r="A1" s="26" t="s">
        <v>237</v>
      </c>
      <c r="B1" s="26"/>
      <c r="C1" s="26"/>
      <c r="D1" s="26"/>
      <c r="E1" s="26"/>
    </row>
    <row r="3" spans="1:5" s="15" customFormat="1" ht="18.75">
      <c r="B3" s="24" t="s">
        <v>238</v>
      </c>
      <c r="C3" s="25"/>
    </row>
    <row r="4" spans="1:5" s="17" customFormat="1" ht="18.75">
      <c r="B4" s="16" t="s">
        <v>149</v>
      </c>
      <c r="C4" s="16" t="s">
        <v>150</v>
      </c>
    </row>
    <row r="5" spans="1:5" s="12" customFormat="1" ht="21.95" customHeight="1">
      <c r="B5" s="13" t="s">
        <v>142</v>
      </c>
      <c r="C5" s="13">
        <f>COUNTA(ActionTracker[Action_ID])</f>
        <v>28</v>
      </c>
    </row>
    <row r="6" spans="1:5" s="12" customFormat="1" ht="21.95" customHeight="1">
      <c r="B6" s="13" t="s">
        <v>143</v>
      </c>
      <c r="C6" s="13">
        <f ca="1">COUNTIFS(ActionTracker[Due_Date],"&lt;"&amp;TODAY(),ActionTracker[Action_Status],"&lt;&gt;Completed")</f>
        <v>3</v>
      </c>
    </row>
    <row r="7" spans="1:5" s="12" customFormat="1" ht="21.95" customHeight="1">
      <c r="B7" s="13" t="s">
        <v>144</v>
      </c>
      <c r="C7" s="13">
        <f>COUNTIF(ActionTracker[Priority],"High")</f>
        <v>11</v>
      </c>
    </row>
    <row r="8" spans="1:5" s="12" customFormat="1" ht="21.95" customHeight="1">
      <c r="B8" s="13" t="s">
        <v>145</v>
      </c>
      <c r="C8" s="13">
        <f>COUNTIF(ActionTracker[Priority],"Medium")</f>
        <v>11</v>
      </c>
    </row>
    <row r="9" spans="1:5" s="12" customFormat="1" ht="21.95" customHeight="1">
      <c r="B9" s="13" t="s">
        <v>146</v>
      </c>
      <c r="C9" s="13">
        <f>COUNTIF(ActionTracker[Priority],"Low")</f>
        <v>6</v>
      </c>
    </row>
    <row r="10" spans="1:5" s="12" customFormat="1" ht="21.95" customHeight="1">
      <c r="B10" s="13" t="s">
        <v>147</v>
      </c>
      <c r="C10" s="13">
        <f>COUNTIF(ActionTracker[Action_Status],"Completed")</f>
        <v>6</v>
      </c>
    </row>
    <row r="11" spans="1:5" s="12" customFormat="1" ht="21.95" customHeight="1">
      <c r="B11" s="13" t="s">
        <v>148</v>
      </c>
      <c r="C11" s="14">
        <f>C10/C5</f>
        <v>0.21428571428571427</v>
      </c>
    </row>
    <row r="13" spans="1:5">
      <c r="A13" s="18" t="s">
        <v>103</v>
      </c>
      <c r="B13" s="19" t="s">
        <v>248</v>
      </c>
    </row>
    <row r="14" spans="1:5" ht="21.95" customHeight="1">
      <c r="A14" s="13" t="s">
        <v>38</v>
      </c>
      <c r="B14" s="13">
        <f>COUNTIF(Action_Tracker!H:H,"Completed")</f>
        <v>6</v>
      </c>
    </row>
    <row r="15" spans="1:5" ht="21.95" customHeight="1">
      <c r="A15" s="13" t="s">
        <v>36</v>
      </c>
      <c r="B15" s="13">
        <f>COUNTIF(Action_Tracker!H:H,"In Progress")</f>
        <v>11</v>
      </c>
    </row>
    <row r="16" spans="1:5" ht="21.95" customHeight="1">
      <c r="A16" s="13" t="s">
        <v>39</v>
      </c>
      <c r="B16" s="13">
        <f>COUNTIF(Action_Tracker!H:H,"Pending")</f>
        <v>6</v>
      </c>
    </row>
    <row r="17" spans="1:5" ht="21.95" customHeight="1">
      <c r="A17" s="13" t="s">
        <v>40</v>
      </c>
      <c r="B17" s="13">
        <f>COUNTIF(Action_Tracker!H:H,"No Started")</f>
        <v>0</v>
      </c>
    </row>
    <row r="22" spans="1:5">
      <c r="A22" s="18" t="s">
        <v>249</v>
      </c>
      <c r="B22" s="18" t="s">
        <v>251</v>
      </c>
    </row>
    <row r="23" spans="1:5">
      <c r="A23" s="13" t="s">
        <v>139</v>
      </c>
      <c r="B23" s="13">
        <f ca="1">COUNTIF(Action_Tracker!M:M,"&gt;0")</f>
        <v>3</v>
      </c>
    </row>
    <row r="24" spans="1:5">
      <c r="A24" s="13" t="s">
        <v>250</v>
      </c>
      <c r="B24" s="13">
        <f ca="1">COUNTIF(Action_Tracker!M3:M30,"")</f>
        <v>25</v>
      </c>
    </row>
    <row r="26" spans="1:5" ht="21.95" customHeight="1"/>
    <row r="27" spans="1:5" ht="21.95" customHeight="1"/>
    <row r="28" spans="1:5">
      <c r="A28" s="1"/>
      <c r="B28" s="1"/>
    </row>
    <row r="32" spans="1:5" ht="18.75">
      <c r="A32" s="24" t="s">
        <v>252</v>
      </c>
      <c r="B32" s="25"/>
      <c r="C32" s="25"/>
      <c r="D32" s="25"/>
      <c r="E32" s="25"/>
    </row>
    <row r="33" spans="1:5">
      <c r="A33" s="20" t="s">
        <v>0</v>
      </c>
      <c r="B33" s="20" t="s">
        <v>1</v>
      </c>
      <c r="C33" s="20" t="s">
        <v>3</v>
      </c>
      <c r="D33" s="20" t="s">
        <v>242</v>
      </c>
      <c r="E33" s="20" t="s">
        <v>243</v>
      </c>
    </row>
    <row r="34" spans="1:5" ht="21.95" customHeight="1">
      <c r="A34" s="13" t="str" cm="1">
        <f t="array" aca="1" ref="A34:E38" ca="1">_xlfn.TAKE(_xlfn.SORTBY(_xlfn._xlws.FILTER(CHOOSE({1,2,3,4,5},Master_Tracker!A3:A100,Master_Tracker!B3:B100,Master_Tracker!D3:D100,Master_Tracker!P3:P100,Master_Tracker!Q3:Q100),(Master_Tracker!F3:F100&lt;&gt;"Completed")*(Master_Tracker!P3:P100&gt;=0)),_xlfn._xlws.FILTER(Master_Tracker!P3:P100,(Master_Tracker!F3:F100&lt;&gt;"Completed")*(Master_Tracker!P3:P100&gt;=0)),1),5)</f>
        <v>SMT-2026-001</v>
      </c>
      <c r="B34" s="13" t="str">
        <f ca="1"/>
        <v>Senior Management Team</v>
      </c>
      <c r="C34" s="21">
        <f ca="1"/>
        <v>46163</v>
      </c>
      <c r="D34" s="13">
        <f ca="1"/>
        <v>0</v>
      </c>
      <c r="E34" s="13" t="str">
        <f ca="1"/>
        <v>Amber</v>
      </c>
    </row>
    <row r="35" spans="1:5" ht="21.95" customHeight="1">
      <c r="A35" s="13" t="str">
        <f ca="1"/>
        <v>GRC-2026-001</v>
      </c>
      <c r="B35" s="13" t="str">
        <f ca="1"/>
        <v>Governance &amp; Risk Committee</v>
      </c>
      <c r="C35" s="21">
        <f ca="1"/>
        <v>46167</v>
      </c>
      <c r="D35" s="13">
        <f ca="1"/>
        <v>4</v>
      </c>
      <c r="E35" s="13" t="str">
        <f ca="1"/>
        <v>Amber</v>
      </c>
    </row>
    <row r="36" spans="1:5" ht="21.95" customHeight="1">
      <c r="A36" s="13" t="str">
        <f ca="1"/>
        <v>AAC-2026-001</v>
      </c>
      <c r="B36" s="13" t="str">
        <f ca="1"/>
        <v>Academic Affairs Committee</v>
      </c>
      <c r="C36" s="21">
        <f ca="1"/>
        <v>46170</v>
      </c>
      <c r="D36" s="13">
        <f ca="1"/>
        <v>7</v>
      </c>
      <c r="E36" s="13" t="str">
        <f ca="1"/>
        <v>Amber</v>
      </c>
    </row>
    <row r="37" spans="1:5" ht="21.95" customHeight="1">
      <c r="A37" s="13" t="str">
        <f ca="1"/>
        <v>OPS-2026-001</v>
      </c>
      <c r="B37" s="13" t="str">
        <f ca="1"/>
        <v>Operations &amp; Planning Committee</v>
      </c>
      <c r="C37" s="21">
        <f ca="1"/>
        <v>46171</v>
      </c>
      <c r="D37" s="13">
        <f ca="1"/>
        <v>8</v>
      </c>
      <c r="E37" s="13" t="str">
        <f ca="1"/>
        <v>Green</v>
      </c>
    </row>
    <row r="38" spans="1:5" ht="21.95" customHeight="1">
      <c r="A38" s="13" t="str">
        <f ca="1"/>
        <v>FRC-2026-001</v>
      </c>
      <c r="B38" s="13" t="str">
        <f ca="1"/>
        <v>Finance &amp; Resources Committee</v>
      </c>
      <c r="C38" s="21">
        <f ca="1"/>
        <v>46176</v>
      </c>
      <c r="D38" s="13">
        <f ca="1"/>
        <v>13</v>
      </c>
      <c r="E38" s="13" t="str">
        <f ca="1"/>
        <v>Green</v>
      </c>
    </row>
  </sheetData>
  <mergeCells count="3">
    <mergeCell ref="B3:C3"/>
    <mergeCell ref="A1:E1"/>
    <mergeCell ref="A32:E32"/>
  </mergeCells>
  <pageMargins left="0.25" right="0.25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CCFB-272B-4688-BC30-77DA1457EA7C}">
  <sheetPr>
    <tabColor theme="7" tint="-0.249977111117893"/>
  </sheetPr>
  <dimension ref="A1:U256"/>
  <sheetViews>
    <sheetView topLeftCell="I1" workbookViewId="0">
      <pane ySplit="2" topLeftCell="A3" activePane="bottomLeft" state="frozen"/>
      <selection pane="bottomLeft" activeCell="L27" sqref="L27"/>
    </sheetView>
  </sheetViews>
  <sheetFormatPr defaultRowHeight="15"/>
  <cols>
    <col min="1" max="1" width="17.5703125" style="3" bestFit="1" customWidth="1"/>
    <col min="2" max="2" width="31.42578125" style="3" bestFit="1" customWidth="1"/>
    <col min="3" max="3" width="19.140625" style="3" bestFit="1" customWidth="1"/>
    <col min="4" max="4" width="18.140625" style="5" bestFit="1" customWidth="1"/>
    <col min="5" max="5" width="18.28515625" style="4" bestFit="1" customWidth="1"/>
    <col min="6" max="6" width="19.5703125" style="3" bestFit="1" customWidth="1"/>
    <col min="7" max="7" width="21.28515625" style="5" bestFit="1" customWidth="1"/>
    <col min="8" max="8" width="18.85546875" style="3" bestFit="1" customWidth="1"/>
    <col min="9" max="9" width="18.7109375" style="3" bestFit="1" customWidth="1"/>
    <col min="10" max="10" width="19.5703125" style="3" bestFit="1" customWidth="1"/>
    <col min="11" max="11" width="22.140625" style="3" bestFit="1" customWidth="1"/>
    <col min="12" max="12" width="23.42578125" style="3" bestFit="1" customWidth="1"/>
    <col min="13" max="13" width="17.28515625" style="3" bestFit="1" customWidth="1"/>
    <col min="14" max="14" width="23.42578125" style="5" bestFit="1" customWidth="1"/>
    <col min="15" max="15" width="19" style="3" bestFit="1" customWidth="1"/>
    <col min="16" max="17" width="21.28515625" style="3" bestFit="1" customWidth="1"/>
    <col min="18" max="18" width="20.7109375" style="3" bestFit="1" customWidth="1"/>
    <col min="19" max="19" width="17.42578125" style="3" bestFit="1" customWidth="1"/>
    <col min="20" max="20" width="35" style="3" bestFit="1" customWidth="1"/>
    <col min="21" max="21" width="12.28515625" customWidth="1"/>
  </cols>
  <sheetData>
    <row r="1" spans="1:21" ht="23.25">
      <c r="A1" s="6" t="s">
        <v>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1" s="1" customFormat="1" ht="25.5" customHeight="1">
      <c r="A2" s="3" t="s">
        <v>0</v>
      </c>
      <c r="B2" s="3" t="s">
        <v>1</v>
      </c>
      <c r="C2" s="3" t="s">
        <v>2</v>
      </c>
      <c r="D2" s="5" t="s">
        <v>3</v>
      </c>
      <c r="E2" s="4" t="s">
        <v>4</v>
      </c>
      <c r="F2" s="3" t="s">
        <v>5</v>
      </c>
      <c r="G2" s="5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5" t="s">
        <v>13</v>
      </c>
      <c r="O2" s="3" t="s">
        <v>14</v>
      </c>
      <c r="P2" s="3" t="s">
        <v>242</v>
      </c>
      <c r="Q2" s="3" t="s">
        <v>243</v>
      </c>
      <c r="R2" s="3" t="s">
        <v>244</v>
      </c>
      <c r="S2" s="3" t="s">
        <v>245</v>
      </c>
      <c r="T2" s="3" t="s">
        <v>15</v>
      </c>
    </row>
    <row r="3" spans="1:21" ht="19.5" customHeight="1">
      <c r="A3" s="3" t="s">
        <v>239</v>
      </c>
      <c r="B3" s="3" t="s">
        <v>16</v>
      </c>
      <c r="C3" s="3" t="s">
        <v>30</v>
      </c>
      <c r="D3" s="5">
        <v>46162</v>
      </c>
      <c r="E3" s="4">
        <v>0.375</v>
      </c>
      <c r="F3" s="3" t="s">
        <v>35</v>
      </c>
      <c r="G3" s="5">
        <v>46157</v>
      </c>
      <c r="H3" s="3" t="s">
        <v>38</v>
      </c>
      <c r="I3" s="3" t="s">
        <v>41</v>
      </c>
      <c r="J3" s="3" t="s">
        <v>43</v>
      </c>
      <c r="K3" s="3" t="s">
        <v>36</v>
      </c>
      <c r="L3" s="3" t="s">
        <v>44</v>
      </c>
      <c r="M3" s="3" t="s">
        <v>51</v>
      </c>
      <c r="N3" s="5">
        <v>46197</v>
      </c>
      <c r="O3" s="3" t="s">
        <v>57</v>
      </c>
      <c r="P3" s="8">
        <f ca="1">Table2[[#This Row],[Meeting_Date]]-TODAY()</f>
        <v>-1</v>
      </c>
      <c r="Q3" s="3" t="str">
        <f ca="1">IF(Table2[[#This Row],[Meeting_Status]]="Completed","Complete",IF(Table2[[#This Row],[Days_To_Meeting]]&lt;0,"Red",IF(Table2[[#This Row],[Days_To_Meeting]]&lt;=7,"Amber","Green")))</f>
        <v>Red</v>
      </c>
      <c r="R3" s="5">
        <f>Table2[[#This Row],[Meeting_Date]]-5</f>
        <v>46157</v>
      </c>
      <c r="S3" s="5" t="str">
        <f ca="1">IF(Table2[[#This Row],[Meeting_Status]]="Completed",TODAY(),"")</f>
        <v/>
      </c>
      <c r="T3" s="3" t="s">
        <v>58</v>
      </c>
      <c r="U3" s="2"/>
    </row>
    <row r="4" spans="1:21" ht="19.5" customHeight="1">
      <c r="A4" s="3" t="s">
        <v>24</v>
      </c>
      <c r="B4" s="3" t="s">
        <v>17</v>
      </c>
      <c r="C4" s="3" t="s">
        <v>31</v>
      </c>
      <c r="D4" s="5">
        <v>46163</v>
      </c>
      <c r="E4" s="4">
        <v>0.41666666666666669</v>
      </c>
      <c r="F4" s="3" t="s">
        <v>35</v>
      </c>
      <c r="G4" s="5">
        <v>46160</v>
      </c>
      <c r="H4" s="3" t="s">
        <v>36</v>
      </c>
      <c r="I4" s="3" t="s">
        <v>41</v>
      </c>
      <c r="J4" s="3" t="s">
        <v>39</v>
      </c>
      <c r="K4" s="3" t="s">
        <v>39</v>
      </c>
      <c r="L4" s="3" t="s">
        <v>45</v>
      </c>
      <c r="M4" s="3" t="s">
        <v>51</v>
      </c>
      <c r="N4" s="5">
        <v>46191</v>
      </c>
      <c r="O4" s="3" t="s">
        <v>39</v>
      </c>
      <c r="P4" s="8">
        <f ca="1">Table2[[#This Row],[Meeting_Date]]-TODAY()</f>
        <v>0</v>
      </c>
      <c r="Q4" s="3" t="str">
        <f ca="1">IF(Table2[[#This Row],[Meeting_Status]]="Completed","Complete",IF(Table2[[#This Row],[Days_To_Meeting]]&lt;0,"Red",IF(Table2[[#This Row],[Days_To_Meeting]]&lt;=7,"Amber","Green")))</f>
        <v>Amber</v>
      </c>
      <c r="R4" s="5">
        <f>Table2[[#This Row],[Meeting_Date]]-5</f>
        <v>46158</v>
      </c>
      <c r="S4" s="5" t="str">
        <f ca="1">IF(Table2[[#This Row],[Meeting_Status]]="Completed",TODAY(),"")</f>
        <v/>
      </c>
      <c r="T4" s="3" t="s">
        <v>59</v>
      </c>
      <c r="U4" s="2"/>
    </row>
    <row r="5" spans="1:21" ht="19.5" customHeight="1">
      <c r="A5" s="3" t="s">
        <v>25</v>
      </c>
      <c r="B5" s="3" t="s">
        <v>18</v>
      </c>
      <c r="C5" s="3" t="s">
        <v>32</v>
      </c>
      <c r="D5" s="5">
        <v>46167</v>
      </c>
      <c r="E5" s="4">
        <v>0.58333333333333337</v>
      </c>
      <c r="F5" s="3" t="s">
        <v>35</v>
      </c>
      <c r="G5" s="5">
        <v>46162</v>
      </c>
      <c r="H5" s="3" t="s">
        <v>39</v>
      </c>
      <c r="I5" s="3" t="s">
        <v>42</v>
      </c>
      <c r="J5" s="3" t="s">
        <v>40</v>
      </c>
      <c r="K5" s="3" t="s">
        <v>40</v>
      </c>
      <c r="L5" s="3" t="s">
        <v>46</v>
      </c>
      <c r="M5" s="3" t="s">
        <v>52</v>
      </c>
      <c r="N5" s="5">
        <v>46203</v>
      </c>
      <c r="O5" s="3" t="s">
        <v>39</v>
      </c>
      <c r="P5" s="8">
        <f ca="1">Table2[[#This Row],[Meeting_Date]]-TODAY()</f>
        <v>4</v>
      </c>
      <c r="Q5" s="3" t="str">
        <f ca="1">IF(Table2[[#This Row],[Meeting_Status]]="Completed","Complete",IF(Table2[[#This Row],[Days_To_Meeting]]&lt;0,"Red",IF(Table2[[#This Row],[Days_To_Meeting]]&lt;=7,"Amber","Green")))</f>
        <v>Amber</v>
      </c>
      <c r="R5" s="5">
        <f>Table2[[#This Row],[Meeting_Date]]-5</f>
        <v>46162</v>
      </c>
      <c r="S5" s="5" t="str">
        <f ca="1">IF(Table2[[#This Row],[Meeting_Status]]="Completed",TODAY(),"")</f>
        <v/>
      </c>
      <c r="T5" s="3" t="s">
        <v>60</v>
      </c>
      <c r="U5" s="2"/>
    </row>
    <row r="6" spans="1:21" ht="19.5" customHeight="1">
      <c r="A6" s="3" t="s">
        <v>26</v>
      </c>
      <c r="B6" s="3" t="s">
        <v>19</v>
      </c>
      <c r="C6" s="3" t="s">
        <v>32</v>
      </c>
      <c r="D6" s="5">
        <v>46170</v>
      </c>
      <c r="E6" s="4">
        <v>0.45833333333333331</v>
      </c>
      <c r="F6" s="3" t="s">
        <v>35</v>
      </c>
      <c r="G6" s="5">
        <v>46164</v>
      </c>
      <c r="H6" s="3" t="s">
        <v>36</v>
      </c>
      <c r="I6" s="3" t="s">
        <v>42</v>
      </c>
      <c r="J6" s="3" t="s">
        <v>39</v>
      </c>
      <c r="K6" s="3" t="s">
        <v>39</v>
      </c>
      <c r="L6" s="3" t="s">
        <v>47</v>
      </c>
      <c r="M6" s="3" t="s">
        <v>53</v>
      </c>
      <c r="N6" s="5">
        <v>46218</v>
      </c>
      <c r="O6" s="3" t="s">
        <v>39</v>
      </c>
      <c r="P6" s="8">
        <f ca="1">Table2[[#This Row],[Meeting_Date]]-TODAY()</f>
        <v>7</v>
      </c>
      <c r="Q6" s="3" t="str">
        <f ca="1">IF(Table2[[#This Row],[Meeting_Status]]="Completed","Complete",IF(Table2[[#This Row],[Days_To_Meeting]]&lt;0,"Red",IF(Table2[[#This Row],[Days_To_Meeting]]&lt;=7,"Amber","Green")))</f>
        <v>Amber</v>
      </c>
      <c r="R6" s="5">
        <f>Table2[[#This Row],[Meeting_Date]]-5</f>
        <v>46165</v>
      </c>
      <c r="S6" s="5" t="str">
        <f ca="1">IF(Table2[[#This Row],[Meeting_Status]]="Completed",TODAY(),"")</f>
        <v/>
      </c>
      <c r="T6" s="3" t="s">
        <v>61</v>
      </c>
      <c r="U6" s="2"/>
    </row>
    <row r="7" spans="1:21" ht="19.5" customHeight="1">
      <c r="A7" s="3" t="s">
        <v>27</v>
      </c>
      <c r="B7" s="3" t="s">
        <v>20</v>
      </c>
      <c r="C7" s="3" t="s">
        <v>33</v>
      </c>
      <c r="D7" s="5">
        <v>46171</v>
      </c>
      <c r="E7" s="4">
        <v>0.625</v>
      </c>
      <c r="F7" s="3" t="s">
        <v>36</v>
      </c>
      <c r="G7" s="5">
        <v>46167</v>
      </c>
      <c r="H7" s="3" t="s">
        <v>39</v>
      </c>
      <c r="I7" s="3" t="s">
        <v>42</v>
      </c>
      <c r="J7" s="3" t="s">
        <v>40</v>
      </c>
      <c r="K7" s="3" t="s">
        <v>40</v>
      </c>
      <c r="L7" s="3" t="s">
        <v>48</v>
      </c>
      <c r="M7" s="3" t="s">
        <v>54</v>
      </c>
      <c r="N7" s="5">
        <v>46185</v>
      </c>
      <c r="O7" s="3" t="s">
        <v>39</v>
      </c>
      <c r="P7" s="8">
        <f ca="1">Table2[[#This Row],[Meeting_Date]]-TODAY()</f>
        <v>8</v>
      </c>
      <c r="Q7" s="3" t="str">
        <f ca="1">IF(Table2[[#This Row],[Meeting_Status]]="Completed","Complete",IF(Table2[[#This Row],[Days_To_Meeting]]&lt;0,"Red",IF(Table2[[#This Row],[Days_To_Meeting]]&lt;=7,"Amber","Green")))</f>
        <v>Green</v>
      </c>
      <c r="R7" s="5">
        <f>Table2[[#This Row],[Meeting_Date]]-5</f>
        <v>46166</v>
      </c>
      <c r="S7" s="5" t="str">
        <f ca="1">IF(Table2[[#This Row],[Meeting_Status]]="Completed",TODAY(),"")</f>
        <v/>
      </c>
      <c r="T7" s="3" t="s">
        <v>62</v>
      </c>
      <c r="U7" s="2"/>
    </row>
    <row r="8" spans="1:21" ht="19.5" customHeight="1">
      <c r="A8" s="3" t="s">
        <v>28</v>
      </c>
      <c r="B8" s="3" t="s">
        <v>21</v>
      </c>
      <c r="C8" s="3" t="s">
        <v>32</v>
      </c>
      <c r="D8" s="5">
        <v>46176</v>
      </c>
      <c r="E8" s="4">
        <v>0.39583333333333331</v>
      </c>
      <c r="F8" s="3" t="s">
        <v>35</v>
      </c>
      <c r="G8" s="5">
        <v>46171</v>
      </c>
      <c r="H8" s="3" t="s">
        <v>39</v>
      </c>
      <c r="I8" s="3" t="s">
        <v>42</v>
      </c>
      <c r="J8" s="3" t="s">
        <v>40</v>
      </c>
      <c r="K8" s="3" t="s">
        <v>40</v>
      </c>
      <c r="L8" s="3" t="s">
        <v>49</v>
      </c>
      <c r="M8" s="3" t="s">
        <v>55</v>
      </c>
      <c r="N8" s="5">
        <v>46204</v>
      </c>
      <c r="O8" s="3" t="s">
        <v>39</v>
      </c>
      <c r="P8" s="8">
        <f ca="1">Table2[[#This Row],[Meeting_Date]]-TODAY()</f>
        <v>13</v>
      </c>
      <c r="Q8" s="3" t="str">
        <f ca="1">IF(Table2[[#This Row],[Meeting_Status]]="Completed","Complete",IF(Table2[[#This Row],[Days_To_Meeting]]&lt;0,"Red",IF(Table2[[#This Row],[Days_To_Meeting]]&lt;=7,"Amber","Green")))</f>
        <v>Green</v>
      </c>
      <c r="R8" s="5">
        <f>Table2[[#This Row],[Meeting_Date]]-5</f>
        <v>46171</v>
      </c>
      <c r="S8" s="5" t="str">
        <f ca="1">IF(Table2[[#This Row],[Meeting_Status]]="Completed",TODAY(),"")</f>
        <v/>
      </c>
      <c r="T8" s="3" t="s">
        <v>63</v>
      </c>
      <c r="U8" s="2"/>
    </row>
    <row r="9" spans="1:21" ht="19.5" customHeight="1">
      <c r="A9" s="3" t="s">
        <v>29</v>
      </c>
      <c r="B9" s="3" t="s">
        <v>22</v>
      </c>
      <c r="C9" s="3" t="s">
        <v>34</v>
      </c>
      <c r="D9" s="5">
        <v>46183</v>
      </c>
      <c r="E9" s="4">
        <v>0.54166666666666663</v>
      </c>
      <c r="F9" s="3" t="s">
        <v>37</v>
      </c>
      <c r="G9" s="5">
        <v>46178</v>
      </c>
      <c r="H9" s="3" t="s">
        <v>40</v>
      </c>
      <c r="I9" s="3" t="s">
        <v>42</v>
      </c>
      <c r="J9" s="3" t="s">
        <v>40</v>
      </c>
      <c r="K9" s="3" t="s">
        <v>40</v>
      </c>
      <c r="L9" s="3" t="s">
        <v>50</v>
      </c>
      <c r="M9" s="3" t="s">
        <v>56</v>
      </c>
      <c r="N9" s="5">
        <v>46218</v>
      </c>
      <c r="O9" s="3" t="s">
        <v>39</v>
      </c>
      <c r="P9" s="8">
        <f ca="1">Table2[[#This Row],[Meeting_Date]]-TODAY()</f>
        <v>20</v>
      </c>
      <c r="Q9" s="3" t="str">
        <f ca="1">IF(Table2[[#This Row],[Meeting_Status]]="Completed","Complete",IF(Table2[[#This Row],[Days_To_Meeting]]&lt;0,"Red",IF(Table2[[#This Row],[Days_To_Meeting]]&lt;=7,"Amber","Green")))</f>
        <v>Green</v>
      </c>
      <c r="R9" s="5">
        <f>Table2[[#This Row],[Meeting_Date]]-5</f>
        <v>46178</v>
      </c>
      <c r="S9" s="5" t="str">
        <f ca="1">IF(Table2[[#This Row],[Meeting_Status]]="Completed",TODAY(),"")</f>
        <v/>
      </c>
      <c r="T9" s="3" t="s">
        <v>64</v>
      </c>
      <c r="U9" s="2"/>
    </row>
    <row r="10" spans="1:21" ht="19.5" customHeight="1">
      <c r="A10" s="3" t="s">
        <v>240</v>
      </c>
      <c r="B10" s="3" t="s">
        <v>16</v>
      </c>
      <c r="C10" s="3" t="s">
        <v>30</v>
      </c>
      <c r="D10" s="5">
        <v>46197</v>
      </c>
      <c r="E10" s="4">
        <v>0.375</v>
      </c>
      <c r="F10" s="3" t="s">
        <v>38</v>
      </c>
      <c r="G10" s="5">
        <v>46191</v>
      </c>
      <c r="H10" s="3" t="s">
        <v>138</v>
      </c>
      <c r="I10" s="3" t="s">
        <v>41</v>
      </c>
      <c r="J10" s="3" t="s">
        <v>138</v>
      </c>
      <c r="K10" s="3" t="s">
        <v>38</v>
      </c>
      <c r="L10" s="3" t="s">
        <v>44</v>
      </c>
      <c r="M10" s="3" t="s">
        <v>51</v>
      </c>
      <c r="N10" s="5">
        <v>46225</v>
      </c>
      <c r="O10" s="3" t="s">
        <v>57</v>
      </c>
      <c r="P10" s="8">
        <f ca="1">Table2[[#This Row],[Meeting_Date]]-TODAY()</f>
        <v>34</v>
      </c>
      <c r="Q10" s="3" t="str">
        <f>IF(Table2[[#This Row],[Meeting_Status]]="Completed","Complete",IF(Table2[[#This Row],[Days_To_Meeting]]&lt;0,"Red",IF(Table2[[#This Row],[Days_To_Meeting]]&lt;=7,"Amber","Green")))</f>
        <v>Complete</v>
      </c>
      <c r="R10" s="5">
        <f>Table2[[#This Row],[Meeting_Date]]-5</f>
        <v>46192</v>
      </c>
      <c r="S10" s="5">
        <f ca="1">IF(Table2[[#This Row],[Meeting_Status]]="Completed",TODAY(),"")</f>
        <v>46163</v>
      </c>
      <c r="T10" s="3" t="s">
        <v>152</v>
      </c>
      <c r="U10" s="2"/>
    </row>
    <row r="11" spans="1:21" ht="19.5" customHeight="1">
      <c r="A11" s="3" t="s">
        <v>153</v>
      </c>
      <c r="B11" s="3" t="s">
        <v>17</v>
      </c>
      <c r="C11" s="3" t="s">
        <v>31</v>
      </c>
      <c r="D11" s="5">
        <v>46191</v>
      </c>
      <c r="E11" s="4">
        <v>0.41666666666666669</v>
      </c>
      <c r="F11" s="3" t="s">
        <v>36</v>
      </c>
      <c r="G11" s="5">
        <v>46185</v>
      </c>
      <c r="H11" s="3" t="s">
        <v>36</v>
      </c>
      <c r="I11" s="3" t="s">
        <v>41</v>
      </c>
      <c r="J11" s="3" t="s">
        <v>43</v>
      </c>
      <c r="K11" s="3" t="s">
        <v>36</v>
      </c>
      <c r="L11" s="3" t="s">
        <v>45</v>
      </c>
      <c r="M11" s="3" t="s">
        <v>51</v>
      </c>
      <c r="N11" s="5">
        <v>46219</v>
      </c>
      <c r="O11" s="3" t="s">
        <v>39</v>
      </c>
      <c r="P11" s="8">
        <f ca="1">Table2[[#This Row],[Meeting_Date]]-TODAY()</f>
        <v>28</v>
      </c>
      <c r="Q11" s="3" t="str">
        <f ca="1">IF(Table2[[#This Row],[Meeting_Status]]="Completed","Complete",IF(Table2[[#This Row],[Days_To_Meeting]]&lt;0,"Red",IF(Table2[[#This Row],[Days_To_Meeting]]&lt;=7,"Amber","Green")))</f>
        <v>Green</v>
      </c>
      <c r="R11" s="5">
        <f>Table2[[#This Row],[Meeting_Date]]-5</f>
        <v>46186</v>
      </c>
      <c r="S11" s="5" t="str">
        <f ca="1">IF(Table2[[#This Row],[Meeting_Status]]="Completed",TODAY(),"")</f>
        <v/>
      </c>
      <c r="T11" s="3" t="s">
        <v>154</v>
      </c>
      <c r="U11" s="2"/>
    </row>
    <row r="12" spans="1:21" ht="19.5" customHeight="1">
      <c r="A12" s="3" t="s">
        <v>155</v>
      </c>
      <c r="B12" s="3" t="s">
        <v>18</v>
      </c>
      <c r="C12" s="3" t="s">
        <v>32</v>
      </c>
      <c r="D12" s="5">
        <v>46203</v>
      </c>
      <c r="E12" s="4">
        <v>0.58333333333333337</v>
      </c>
      <c r="F12" s="3" t="s">
        <v>35</v>
      </c>
      <c r="G12" s="5">
        <v>46197</v>
      </c>
      <c r="H12" s="3" t="s">
        <v>39</v>
      </c>
      <c r="I12" s="3" t="s">
        <v>42</v>
      </c>
      <c r="J12" s="3" t="s">
        <v>39</v>
      </c>
      <c r="K12" s="3" t="s">
        <v>39</v>
      </c>
      <c r="L12" s="3" t="s">
        <v>46</v>
      </c>
      <c r="M12" s="3" t="s">
        <v>52</v>
      </c>
      <c r="N12" s="5">
        <v>46231</v>
      </c>
      <c r="O12" s="3" t="s">
        <v>39</v>
      </c>
      <c r="P12" s="8">
        <f ca="1">Table2[[#This Row],[Meeting_Date]]-TODAY()</f>
        <v>40</v>
      </c>
      <c r="Q12" s="3" t="str">
        <f ca="1">IF(Table2[[#This Row],[Meeting_Status]]="Completed","Complete",IF(Table2[[#This Row],[Days_To_Meeting]]&lt;0,"Red",IF(Table2[[#This Row],[Days_To_Meeting]]&lt;=7,"Amber","Green")))</f>
        <v>Green</v>
      </c>
      <c r="R12" s="5">
        <f>Table2[[#This Row],[Meeting_Date]]-5</f>
        <v>46198</v>
      </c>
      <c r="S12" s="5" t="str">
        <f ca="1">IF(Table2[[#This Row],[Meeting_Status]]="Completed",TODAY(),"")</f>
        <v/>
      </c>
      <c r="T12" s="3" t="s">
        <v>156</v>
      </c>
      <c r="U12" s="2"/>
    </row>
    <row r="13" spans="1:21" ht="19.5" customHeight="1">
      <c r="A13" s="3" t="s">
        <v>157</v>
      </c>
      <c r="B13" s="3" t="s">
        <v>19</v>
      </c>
      <c r="C13" s="3" t="s">
        <v>32</v>
      </c>
      <c r="D13" s="5">
        <v>46218</v>
      </c>
      <c r="E13" s="4">
        <v>0.45833333333333331</v>
      </c>
      <c r="F13" s="3" t="s">
        <v>37</v>
      </c>
      <c r="G13" s="5">
        <v>46211</v>
      </c>
      <c r="H13" s="3" t="s">
        <v>40</v>
      </c>
      <c r="I13" s="3" t="s">
        <v>42</v>
      </c>
      <c r="J13" s="3" t="s">
        <v>40</v>
      </c>
      <c r="K13" s="3" t="s">
        <v>40</v>
      </c>
      <c r="L13" s="3" t="s">
        <v>47</v>
      </c>
      <c r="M13" s="3" t="s">
        <v>53</v>
      </c>
      <c r="N13" s="5">
        <v>46254</v>
      </c>
      <c r="O13" s="3" t="s">
        <v>39</v>
      </c>
      <c r="P13" s="8">
        <f ca="1">Table2[[#This Row],[Meeting_Date]]-TODAY()</f>
        <v>55</v>
      </c>
      <c r="Q13" s="3" t="str">
        <f ca="1">IF(Table2[[#This Row],[Meeting_Status]]="Completed","Complete",IF(Table2[[#This Row],[Days_To_Meeting]]&lt;0,"Red",IF(Table2[[#This Row],[Days_To_Meeting]]&lt;=7,"Amber","Green")))</f>
        <v>Green</v>
      </c>
      <c r="R13" s="5">
        <f>Table2[[#This Row],[Meeting_Date]]-5</f>
        <v>46213</v>
      </c>
      <c r="S13" s="5" t="str">
        <f ca="1">IF(Table2[[#This Row],[Meeting_Status]]="Completed",TODAY(),"")</f>
        <v/>
      </c>
      <c r="T13" s="3" t="s">
        <v>158</v>
      </c>
      <c r="U13" s="2"/>
    </row>
    <row r="14" spans="1:21" ht="19.5" customHeight="1">
      <c r="A14" s="3" t="s">
        <v>159</v>
      </c>
      <c r="B14" s="3" t="s">
        <v>20</v>
      </c>
      <c r="C14" s="3" t="s">
        <v>33</v>
      </c>
      <c r="D14" s="5">
        <v>46185</v>
      </c>
      <c r="E14" s="4">
        <v>0.625</v>
      </c>
      <c r="F14" s="3" t="s">
        <v>38</v>
      </c>
      <c r="G14" s="5">
        <v>46178</v>
      </c>
      <c r="H14" s="3" t="s">
        <v>38</v>
      </c>
      <c r="I14" s="3" t="s">
        <v>41</v>
      </c>
      <c r="J14" s="3" t="s">
        <v>138</v>
      </c>
      <c r="K14" s="3" t="s">
        <v>38</v>
      </c>
      <c r="L14" s="3" t="s">
        <v>48</v>
      </c>
      <c r="M14" s="3" t="s">
        <v>54</v>
      </c>
      <c r="N14" s="5">
        <v>46213</v>
      </c>
      <c r="O14" s="3" t="s">
        <v>57</v>
      </c>
      <c r="P14" s="8">
        <f ca="1">Table2[[#This Row],[Meeting_Date]]-TODAY()</f>
        <v>22</v>
      </c>
      <c r="Q14" s="3" t="str">
        <f>IF(Table2[[#This Row],[Meeting_Status]]="Completed","Complete",IF(Table2[[#This Row],[Days_To_Meeting]]&lt;0,"Red",IF(Table2[[#This Row],[Days_To_Meeting]]&lt;=7,"Amber","Green")))</f>
        <v>Complete</v>
      </c>
      <c r="R14" s="5">
        <f>Table2[[#This Row],[Meeting_Date]]-5</f>
        <v>46180</v>
      </c>
      <c r="S14" s="5">
        <f ca="1">IF(Table2[[#This Row],[Meeting_Status]]="Completed",TODAY(),"")</f>
        <v>46163</v>
      </c>
      <c r="T14" s="3" t="s">
        <v>160</v>
      </c>
      <c r="U14" s="2"/>
    </row>
    <row r="15" spans="1:21" ht="19.5" customHeight="1">
      <c r="A15" s="3" t="s">
        <v>161</v>
      </c>
      <c r="B15" s="3" t="s">
        <v>21</v>
      </c>
      <c r="C15" s="3" t="s">
        <v>32</v>
      </c>
      <c r="D15" s="5">
        <v>46204</v>
      </c>
      <c r="E15" s="4">
        <v>0.39583333333333331</v>
      </c>
      <c r="F15" s="3" t="s">
        <v>36</v>
      </c>
      <c r="G15" s="5">
        <v>46197</v>
      </c>
      <c r="H15" s="3" t="s">
        <v>36</v>
      </c>
      <c r="I15" s="3" t="s">
        <v>41</v>
      </c>
      <c r="J15" s="3" t="s">
        <v>43</v>
      </c>
      <c r="K15" s="3" t="s">
        <v>36</v>
      </c>
      <c r="L15" s="3" t="s">
        <v>49</v>
      </c>
      <c r="M15" s="3" t="s">
        <v>55</v>
      </c>
      <c r="N15" s="5">
        <v>46232</v>
      </c>
      <c r="O15" s="3" t="s">
        <v>39</v>
      </c>
      <c r="P15" s="8">
        <f ca="1">Table2[[#This Row],[Meeting_Date]]-TODAY()</f>
        <v>41</v>
      </c>
      <c r="Q15" s="3" t="str">
        <f ca="1">IF(Table2[[#This Row],[Meeting_Status]]="Completed","Complete",IF(Table2[[#This Row],[Days_To_Meeting]]&lt;0,"Red",IF(Table2[[#This Row],[Days_To_Meeting]]&lt;=7,"Amber","Green")))</f>
        <v>Green</v>
      </c>
      <c r="R15" s="5">
        <f>Table2[[#This Row],[Meeting_Date]]-5</f>
        <v>46199</v>
      </c>
      <c r="S15" s="5" t="str">
        <f ca="1">IF(Table2[[#This Row],[Meeting_Status]]="Completed",TODAY(),"")</f>
        <v/>
      </c>
      <c r="T15" s="3" t="s">
        <v>162</v>
      </c>
      <c r="U15" s="2"/>
    </row>
    <row r="16" spans="1:21" ht="19.5" customHeight="1">
      <c r="A16" s="3" t="s">
        <v>163</v>
      </c>
      <c r="B16" s="3" t="s">
        <v>22</v>
      </c>
      <c r="C16" s="3" t="s">
        <v>34</v>
      </c>
      <c r="D16" s="5">
        <v>46218</v>
      </c>
      <c r="E16" s="4">
        <v>0.54166666666666663</v>
      </c>
      <c r="F16" s="3" t="s">
        <v>37</v>
      </c>
      <c r="G16" s="5">
        <v>46211</v>
      </c>
      <c r="H16" s="3" t="s">
        <v>39</v>
      </c>
      <c r="I16" s="3" t="s">
        <v>42</v>
      </c>
      <c r="J16" s="3" t="s">
        <v>40</v>
      </c>
      <c r="K16" s="3" t="s">
        <v>40</v>
      </c>
      <c r="L16" s="3" t="s">
        <v>50</v>
      </c>
      <c r="M16" s="3" t="s">
        <v>56</v>
      </c>
      <c r="N16" s="5">
        <v>46253</v>
      </c>
      <c r="O16" s="3" t="s">
        <v>39</v>
      </c>
      <c r="P16" s="8">
        <f ca="1">Table2[[#This Row],[Meeting_Date]]-TODAY()</f>
        <v>55</v>
      </c>
      <c r="Q16" s="3" t="str">
        <f ca="1">IF(Table2[[#This Row],[Meeting_Status]]="Completed","Complete",IF(Table2[[#This Row],[Days_To_Meeting]]&lt;0,"Red",IF(Table2[[#This Row],[Days_To_Meeting]]&lt;=7,"Amber","Green")))</f>
        <v>Green</v>
      </c>
      <c r="R16" s="5">
        <f>Table2[[#This Row],[Meeting_Date]]-5</f>
        <v>46213</v>
      </c>
      <c r="S16" s="5" t="str">
        <f ca="1">IF(Table2[[#This Row],[Meeting_Status]]="Completed",TODAY(),"")</f>
        <v/>
      </c>
      <c r="T16" s="3" t="s">
        <v>164</v>
      </c>
      <c r="U16" s="2"/>
    </row>
    <row r="17" spans="1:21" ht="19.5" customHeight="1">
      <c r="A17" s="3" t="s">
        <v>241</v>
      </c>
      <c r="B17" s="3" t="s">
        <v>16</v>
      </c>
      <c r="C17" s="3" t="s">
        <v>30</v>
      </c>
      <c r="D17" s="5">
        <v>46225</v>
      </c>
      <c r="E17" s="4">
        <v>0.375</v>
      </c>
      <c r="F17" s="3" t="s">
        <v>37</v>
      </c>
      <c r="G17" s="5">
        <v>46218</v>
      </c>
      <c r="H17" s="3" t="s">
        <v>40</v>
      </c>
      <c r="I17" s="3" t="s">
        <v>42</v>
      </c>
      <c r="J17" s="3" t="s">
        <v>40</v>
      </c>
      <c r="K17" s="3" t="s">
        <v>40</v>
      </c>
      <c r="L17" s="3" t="s">
        <v>44</v>
      </c>
      <c r="M17" s="3" t="s">
        <v>51</v>
      </c>
      <c r="N17" s="5">
        <v>46260</v>
      </c>
      <c r="O17" s="3" t="s">
        <v>39</v>
      </c>
      <c r="P17" s="8">
        <f ca="1">Table2[[#This Row],[Meeting_Date]]-TODAY()</f>
        <v>62</v>
      </c>
      <c r="Q17" s="3" t="str">
        <f ca="1">IF(Table2[[#This Row],[Meeting_Status]]="Completed","Complete",IF(Table2[[#This Row],[Days_To_Meeting]]&lt;0,"Red",IF(Table2[[#This Row],[Days_To_Meeting]]&lt;=7,"Amber","Green")))</f>
        <v>Green</v>
      </c>
      <c r="R17" s="5">
        <f>Table2[[#This Row],[Meeting_Date]]-5</f>
        <v>46220</v>
      </c>
      <c r="S17" s="5" t="str">
        <f ca="1">IF(Table2[[#This Row],[Meeting_Status]]="Completed",TODAY(),"")</f>
        <v/>
      </c>
      <c r="T17" s="3" t="s">
        <v>166</v>
      </c>
      <c r="U17" s="2"/>
    </row>
    <row r="18" spans="1:21" ht="19.5" customHeight="1">
      <c r="A18" s="3" t="s">
        <v>167</v>
      </c>
      <c r="B18" s="3" t="s">
        <v>17</v>
      </c>
      <c r="C18" s="3" t="s">
        <v>31</v>
      </c>
      <c r="D18" s="5">
        <v>46219</v>
      </c>
      <c r="E18" s="4">
        <v>0.41666666666666669</v>
      </c>
      <c r="F18" s="3" t="s">
        <v>35</v>
      </c>
      <c r="G18" s="5">
        <v>46213</v>
      </c>
      <c r="H18" s="3" t="s">
        <v>39</v>
      </c>
      <c r="I18" s="3" t="s">
        <v>42</v>
      </c>
      <c r="J18" s="3" t="s">
        <v>39</v>
      </c>
      <c r="K18" s="3" t="s">
        <v>39</v>
      </c>
      <c r="L18" s="3" t="s">
        <v>45</v>
      </c>
      <c r="M18" s="3" t="s">
        <v>51</v>
      </c>
      <c r="N18" s="5">
        <v>46247</v>
      </c>
      <c r="O18" s="3" t="s">
        <v>39</v>
      </c>
      <c r="P18" s="8">
        <f ca="1">Table2[[#This Row],[Meeting_Date]]-TODAY()</f>
        <v>56</v>
      </c>
      <c r="Q18" s="3" t="str">
        <f ca="1">IF(Table2[[#This Row],[Meeting_Status]]="Completed","Complete",IF(Table2[[#This Row],[Days_To_Meeting]]&lt;0,"Red",IF(Table2[[#This Row],[Days_To_Meeting]]&lt;=7,"Amber","Green")))</f>
        <v>Green</v>
      </c>
      <c r="R18" s="5">
        <f>Table2[[#This Row],[Meeting_Date]]-5</f>
        <v>46214</v>
      </c>
      <c r="S18" s="5" t="str">
        <f ca="1">IF(Table2[[#This Row],[Meeting_Status]]="Completed",TODAY(),"")</f>
        <v/>
      </c>
      <c r="T18" s="3" t="s">
        <v>168</v>
      </c>
      <c r="U18" s="2"/>
    </row>
    <row r="19" spans="1:21" ht="19.5" customHeight="1">
      <c r="A19" s="3" t="s">
        <v>169</v>
      </c>
      <c r="B19" s="3" t="s">
        <v>18</v>
      </c>
      <c r="C19" s="3" t="s">
        <v>32</v>
      </c>
      <c r="D19" s="5">
        <v>46231</v>
      </c>
      <c r="E19" s="4">
        <v>0.58333333333333337</v>
      </c>
      <c r="F19" s="3" t="s">
        <v>37</v>
      </c>
      <c r="G19" s="5">
        <v>46224</v>
      </c>
      <c r="H19" s="3" t="s">
        <v>40</v>
      </c>
      <c r="I19" s="3" t="s">
        <v>42</v>
      </c>
      <c r="J19" s="3" t="s">
        <v>40</v>
      </c>
      <c r="K19" s="3" t="s">
        <v>40</v>
      </c>
      <c r="L19" s="3" t="s">
        <v>46</v>
      </c>
      <c r="M19" s="3" t="s">
        <v>52</v>
      </c>
      <c r="N19" s="5">
        <v>46259</v>
      </c>
      <c r="O19" s="3" t="s">
        <v>39</v>
      </c>
      <c r="P19" s="8">
        <f ca="1">Table2[[#This Row],[Meeting_Date]]-TODAY()</f>
        <v>68</v>
      </c>
      <c r="Q19" s="3" t="str">
        <f ca="1">IF(Table2[[#This Row],[Meeting_Status]]="Completed","Complete",IF(Table2[[#This Row],[Days_To_Meeting]]&lt;0,"Red",IF(Table2[[#This Row],[Days_To_Meeting]]&lt;=7,"Amber","Green")))</f>
        <v>Green</v>
      </c>
      <c r="R19" s="5">
        <f>Table2[[#This Row],[Meeting_Date]]-5</f>
        <v>46226</v>
      </c>
      <c r="S19" s="5" t="str">
        <f ca="1">IF(Table2[[#This Row],[Meeting_Status]]="Completed",TODAY(),"")</f>
        <v/>
      </c>
      <c r="T19" s="3" t="s">
        <v>170</v>
      </c>
      <c r="U19" s="2"/>
    </row>
    <row r="20" spans="1:21" ht="19.5" customHeight="1">
      <c r="A20" s="3" t="s">
        <v>171</v>
      </c>
      <c r="B20" s="3" t="s">
        <v>19</v>
      </c>
      <c r="C20" s="3" t="s">
        <v>32</v>
      </c>
      <c r="D20" s="5">
        <v>46254</v>
      </c>
      <c r="E20" s="4">
        <v>0.45833333333333331</v>
      </c>
      <c r="F20" s="3" t="s">
        <v>35</v>
      </c>
      <c r="G20" s="5">
        <v>46247</v>
      </c>
      <c r="H20" s="3" t="s">
        <v>39</v>
      </c>
      <c r="I20" s="3" t="s">
        <v>42</v>
      </c>
      <c r="J20" s="3" t="s">
        <v>39</v>
      </c>
      <c r="K20" s="3" t="s">
        <v>39</v>
      </c>
      <c r="L20" s="3" t="s">
        <v>47</v>
      </c>
      <c r="M20" s="3" t="s">
        <v>53</v>
      </c>
      <c r="N20" s="5">
        <v>46282</v>
      </c>
      <c r="O20" s="3" t="s">
        <v>39</v>
      </c>
      <c r="P20" s="8">
        <f ca="1">Table2[[#This Row],[Meeting_Date]]-TODAY()</f>
        <v>91</v>
      </c>
      <c r="Q20" s="3" t="str">
        <f ca="1">IF(Table2[[#This Row],[Meeting_Status]]="Completed","Complete",IF(Table2[[#This Row],[Days_To_Meeting]]&lt;0,"Red",IF(Table2[[#This Row],[Days_To_Meeting]]&lt;=7,"Amber","Green")))</f>
        <v>Green</v>
      </c>
      <c r="R20" s="5">
        <f>Table2[[#This Row],[Meeting_Date]]-5</f>
        <v>46249</v>
      </c>
      <c r="S20" s="5" t="str">
        <f ca="1">IF(Table2[[#This Row],[Meeting_Status]]="Completed",TODAY(),"")</f>
        <v/>
      </c>
      <c r="T20" s="3" t="s">
        <v>172</v>
      </c>
      <c r="U20" s="2"/>
    </row>
    <row r="21" spans="1:21" ht="19.5" customHeight="1">
      <c r="A21" s="3" t="s">
        <v>173</v>
      </c>
      <c r="B21" s="3" t="s">
        <v>20</v>
      </c>
      <c r="C21" s="3" t="s">
        <v>33</v>
      </c>
      <c r="D21" s="5">
        <v>46213</v>
      </c>
      <c r="E21" s="4">
        <v>0.625</v>
      </c>
      <c r="F21" s="3" t="s">
        <v>38</v>
      </c>
      <c r="G21" s="5">
        <v>46206</v>
      </c>
      <c r="H21" s="3" t="s">
        <v>138</v>
      </c>
      <c r="I21" s="3" t="s">
        <v>41</v>
      </c>
      <c r="J21" s="3" t="s">
        <v>57</v>
      </c>
      <c r="K21" s="3" t="s">
        <v>38</v>
      </c>
      <c r="L21" s="3" t="s">
        <v>48</v>
      </c>
      <c r="M21" s="3" t="s">
        <v>54</v>
      </c>
      <c r="N21" s="5">
        <v>46248</v>
      </c>
      <c r="O21" s="3" t="s">
        <v>57</v>
      </c>
      <c r="P21" s="8">
        <f ca="1">Table2[[#This Row],[Meeting_Date]]-TODAY()</f>
        <v>50</v>
      </c>
      <c r="Q21" s="3" t="str">
        <f>IF(Table2[[#This Row],[Meeting_Status]]="Completed","Complete",IF(Table2[[#This Row],[Days_To_Meeting]]&lt;0,"Red",IF(Table2[[#This Row],[Days_To_Meeting]]&lt;=7,"Amber","Green")))</f>
        <v>Complete</v>
      </c>
      <c r="R21" s="5">
        <f>Table2[[#This Row],[Meeting_Date]]-5</f>
        <v>46208</v>
      </c>
      <c r="S21" s="5">
        <f ca="1">IF(Table2[[#This Row],[Meeting_Status]]="Completed",TODAY(),"")</f>
        <v>46163</v>
      </c>
      <c r="T21" s="3" t="s">
        <v>174</v>
      </c>
      <c r="U21" s="2"/>
    </row>
    <row r="22" spans="1:21" ht="19.5" customHeight="1">
      <c r="A22" s="3" t="s">
        <v>175</v>
      </c>
      <c r="B22" s="3" t="s">
        <v>21</v>
      </c>
      <c r="C22" s="3" t="s">
        <v>32</v>
      </c>
      <c r="D22" s="5">
        <v>46232</v>
      </c>
      <c r="E22" s="4">
        <v>0.39583333333333331</v>
      </c>
      <c r="F22" s="3" t="s">
        <v>35</v>
      </c>
      <c r="G22" s="5">
        <v>46225</v>
      </c>
      <c r="H22" s="3" t="s">
        <v>36</v>
      </c>
      <c r="I22" s="3" t="s">
        <v>41</v>
      </c>
      <c r="J22" s="3" t="s">
        <v>43</v>
      </c>
      <c r="K22" s="3" t="s">
        <v>36</v>
      </c>
      <c r="L22" s="3" t="s">
        <v>49</v>
      </c>
      <c r="M22" s="3" t="s">
        <v>55</v>
      </c>
      <c r="N22" s="5">
        <v>46260</v>
      </c>
      <c r="O22" s="3" t="s">
        <v>39</v>
      </c>
      <c r="P22" s="8">
        <f ca="1">Table2[[#This Row],[Meeting_Date]]-TODAY()</f>
        <v>69</v>
      </c>
      <c r="Q22" s="3" t="str">
        <f ca="1">IF(Table2[[#This Row],[Meeting_Status]]="Completed","Complete",IF(Table2[[#This Row],[Days_To_Meeting]]&lt;0,"Red",IF(Table2[[#This Row],[Days_To_Meeting]]&lt;=7,"Amber","Green")))</f>
        <v>Green</v>
      </c>
      <c r="R22" s="5">
        <f>Table2[[#This Row],[Meeting_Date]]-5</f>
        <v>46227</v>
      </c>
      <c r="S22" s="5" t="str">
        <f ca="1">IF(Table2[[#This Row],[Meeting_Status]]="Completed",TODAY(),"")</f>
        <v/>
      </c>
      <c r="T22" s="3" t="s">
        <v>176</v>
      </c>
      <c r="U22" s="2"/>
    </row>
    <row r="23" spans="1:21">
      <c r="U23" s="2"/>
    </row>
    <row r="24" spans="1:21">
      <c r="U24" s="2"/>
    </row>
    <row r="25" spans="1:21">
      <c r="U25" s="2"/>
    </row>
    <row r="26" spans="1:21">
      <c r="U26" s="2"/>
    </row>
    <row r="27" spans="1:21">
      <c r="U27" s="2"/>
    </row>
    <row r="28" spans="1:21">
      <c r="U28" s="2"/>
    </row>
    <row r="29" spans="1:21">
      <c r="U29" s="2"/>
    </row>
    <row r="30" spans="1:21">
      <c r="U30" s="2"/>
    </row>
    <row r="31" spans="1:21">
      <c r="U31" s="2"/>
    </row>
    <row r="32" spans="1:21">
      <c r="U32" s="2"/>
    </row>
    <row r="33" spans="21:21">
      <c r="U33" s="2"/>
    </row>
    <row r="34" spans="21:21">
      <c r="U34" s="2"/>
    </row>
    <row r="35" spans="21:21">
      <c r="U35" s="2"/>
    </row>
    <row r="36" spans="21:21">
      <c r="U36" s="2"/>
    </row>
    <row r="37" spans="21:21">
      <c r="U37" s="2"/>
    </row>
    <row r="38" spans="21:21">
      <c r="U38" s="2"/>
    </row>
    <row r="39" spans="21:21">
      <c r="U39" s="2"/>
    </row>
    <row r="40" spans="21:21">
      <c r="U40" s="2"/>
    </row>
    <row r="41" spans="21:21">
      <c r="U41" s="2"/>
    </row>
    <row r="42" spans="21:21">
      <c r="U42" s="2"/>
    </row>
    <row r="43" spans="21:21">
      <c r="U43" s="2"/>
    </row>
    <row r="44" spans="21:21">
      <c r="U44" s="2"/>
    </row>
    <row r="45" spans="21:21">
      <c r="U45" s="2"/>
    </row>
    <row r="46" spans="21:21">
      <c r="U46" s="2"/>
    </row>
    <row r="47" spans="21:21">
      <c r="U47" s="2"/>
    </row>
    <row r="48" spans="21:21">
      <c r="U48" s="2"/>
    </row>
    <row r="49" spans="21:21">
      <c r="U49" s="2"/>
    </row>
    <row r="50" spans="21:21">
      <c r="U50" s="2"/>
    </row>
    <row r="51" spans="21:21">
      <c r="U51" s="2"/>
    </row>
    <row r="52" spans="21:21">
      <c r="U52" s="2"/>
    </row>
    <row r="53" spans="21:21">
      <c r="U53" s="2"/>
    </row>
    <row r="54" spans="21:21">
      <c r="U54" s="2"/>
    </row>
    <row r="55" spans="21:21">
      <c r="U55" s="2"/>
    </row>
    <row r="56" spans="21:21">
      <c r="U56" s="2"/>
    </row>
    <row r="57" spans="21:21">
      <c r="U57" s="2"/>
    </row>
    <row r="58" spans="21:21">
      <c r="U58" s="2"/>
    </row>
    <row r="59" spans="21:21">
      <c r="U59" s="2"/>
    </row>
    <row r="60" spans="21:21">
      <c r="U60" s="2"/>
    </row>
    <row r="61" spans="21:21">
      <c r="U61" s="2"/>
    </row>
    <row r="62" spans="21:21">
      <c r="U62" s="2"/>
    </row>
    <row r="63" spans="21:21">
      <c r="U63" s="2"/>
    </row>
    <row r="64" spans="21:21">
      <c r="U64" s="2"/>
    </row>
    <row r="65" spans="21:21">
      <c r="U65" s="2"/>
    </row>
    <row r="66" spans="21:21">
      <c r="U66" s="2"/>
    </row>
    <row r="67" spans="21:21">
      <c r="U67" s="2"/>
    </row>
    <row r="68" spans="21:21">
      <c r="U68" s="2"/>
    </row>
    <row r="69" spans="21:21">
      <c r="U69" s="2"/>
    </row>
    <row r="70" spans="21:21">
      <c r="U70" s="2"/>
    </row>
    <row r="71" spans="21:21">
      <c r="U71" s="2"/>
    </row>
    <row r="72" spans="21:21">
      <c r="U72" s="2"/>
    </row>
    <row r="73" spans="21:21">
      <c r="U73" s="2"/>
    </row>
    <row r="74" spans="21:21">
      <c r="U74" s="2"/>
    </row>
    <row r="75" spans="21:21">
      <c r="U75" s="2"/>
    </row>
    <row r="76" spans="21:21">
      <c r="U76" s="2"/>
    </row>
    <row r="77" spans="21:21">
      <c r="U77" s="2"/>
    </row>
    <row r="78" spans="21:21">
      <c r="U78" s="2"/>
    </row>
    <row r="79" spans="21:21">
      <c r="U79" s="2"/>
    </row>
    <row r="80" spans="21:21">
      <c r="U80" s="2"/>
    </row>
    <row r="81" spans="21:21">
      <c r="U81" s="2"/>
    </row>
    <row r="82" spans="21:21">
      <c r="U82" s="2"/>
    </row>
    <row r="83" spans="21:21">
      <c r="U83" s="2"/>
    </row>
    <row r="84" spans="21:21">
      <c r="U84" s="2"/>
    </row>
    <row r="85" spans="21:21">
      <c r="U85" s="2"/>
    </row>
    <row r="86" spans="21:21">
      <c r="U86" s="2"/>
    </row>
    <row r="87" spans="21:21">
      <c r="U87" s="2"/>
    </row>
    <row r="88" spans="21:21">
      <c r="U88" s="2"/>
    </row>
    <row r="89" spans="21:21">
      <c r="U89" s="2"/>
    </row>
    <row r="90" spans="21:21">
      <c r="U90" s="2"/>
    </row>
    <row r="91" spans="21:21">
      <c r="U91" s="2"/>
    </row>
    <row r="92" spans="21:21">
      <c r="U92" s="2"/>
    </row>
    <row r="93" spans="21:21">
      <c r="U93" s="2"/>
    </row>
    <row r="94" spans="21:21">
      <c r="U94" s="2"/>
    </row>
    <row r="95" spans="21:21">
      <c r="U95" s="2"/>
    </row>
    <row r="96" spans="21:21">
      <c r="U96" s="2"/>
    </row>
    <row r="97" spans="21:21">
      <c r="U97" s="2"/>
    </row>
    <row r="98" spans="21:21">
      <c r="U98" s="2"/>
    </row>
    <row r="99" spans="21:21">
      <c r="U99" s="2"/>
    </row>
    <row r="100" spans="21:21">
      <c r="U100" s="2"/>
    </row>
    <row r="101" spans="21:21">
      <c r="U101" s="2"/>
    </row>
    <row r="102" spans="21:21">
      <c r="U102" s="2"/>
    </row>
    <row r="103" spans="21:21">
      <c r="U103" s="2"/>
    </row>
    <row r="104" spans="21:21">
      <c r="U104" s="2"/>
    </row>
    <row r="105" spans="21:21">
      <c r="U105" s="2"/>
    </row>
    <row r="106" spans="21:21">
      <c r="U106" s="2"/>
    </row>
    <row r="107" spans="21:21">
      <c r="U107" s="2"/>
    </row>
    <row r="108" spans="21:21">
      <c r="U108" s="2"/>
    </row>
    <row r="109" spans="21:21">
      <c r="U109" s="2"/>
    </row>
    <row r="110" spans="21:21">
      <c r="U110" s="2"/>
    </row>
    <row r="111" spans="21:21">
      <c r="U111" s="2"/>
    </row>
    <row r="112" spans="21:21">
      <c r="U112" s="2"/>
    </row>
    <row r="113" spans="21:21">
      <c r="U113" s="2"/>
    </row>
    <row r="114" spans="21:21">
      <c r="U114" s="2"/>
    </row>
    <row r="115" spans="21:21">
      <c r="U115" s="2"/>
    </row>
    <row r="116" spans="21:21">
      <c r="U116" s="2"/>
    </row>
    <row r="117" spans="21:21">
      <c r="U117" s="2"/>
    </row>
    <row r="118" spans="21:21">
      <c r="U118" s="2"/>
    </row>
    <row r="119" spans="21:21">
      <c r="U119" s="2"/>
    </row>
    <row r="120" spans="21:21">
      <c r="U120" s="2"/>
    </row>
    <row r="121" spans="21:21">
      <c r="U121" s="2"/>
    </row>
    <row r="122" spans="21:21">
      <c r="U122" s="2"/>
    </row>
    <row r="123" spans="21:21">
      <c r="U123" s="2"/>
    </row>
    <row r="124" spans="21:21">
      <c r="U124" s="2"/>
    </row>
    <row r="125" spans="21:21">
      <c r="U125" s="2"/>
    </row>
    <row r="126" spans="21:21">
      <c r="U126" s="2"/>
    </row>
    <row r="127" spans="21:21">
      <c r="U127" s="2"/>
    </row>
    <row r="128" spans="21:21">
      <c r="U128" s="2"/>
    </row>
    <row r="129" spans="21:21">
      <c r="U129" s="2"/>
    </row>
    <row r="130" spans="21:21">
      <c r="U130" s="2"/>
    </row>
    <row r="131" spans="21:21">
      <c r="U131" s="2"/>
    </row>
    <row r="132" spans="21:21">
      <c r="U132" s="2"/>
    </row>
    <row r="133" spans="21:21">
      <c r="U133" s="2"/>
    </row>
    <row r="134" spans="21:21">
      <c r="U134" s="2"/>
    </row>
    <row r="135" spans="21:21">
      <c r="U135" s="2"/>
    </row>
    <row r="136" spans="21:21">
      <c r="U136" s="2"/>
    </row>
    <row r="137" spans="21:21">
      <c r="U137" s="2"/>
    </row>
    <row r="138" spans="21:21">
      <c r="U138" s="2"/>
    </row>
    <row r="139" spans="21:21">
      <c r="U139" s="2"/>
    </row>
    <row r="140" spans="21:21">
      <c r="U140" s="2"/>
    </row>
    <row r="141" spans="21:21">
      <c r="U141" s="2"/>
    </row>
    <row r="142" spans="21:21">
      <c r="U142" s="2"/>
    </row>
    <row r="143" spans="21:21">
      <c r="U143" s="2"/>
    </row>
    <row r="144" spans="21:21">
      <c r="U144" s="2"/>
    </row>
    <row r="145" spans="21:21">
      <c r="U145" s="2"/>
    </row>
    <row r="146" spans="21:21">
      <c r="U146" s="2"/>
    </row>
    <row r="147" spans="21:21">
      <c r="U147" s="2"/>
    </row>
    <row r="148" spans="21:21">
      <c r="U148" s="2"/>
    </row>
    <row r="149" spans="21:21">
      <c r="U149" s="2"/>
    </row>
    <row r="150" spans="21:21">
      <c r="U150" s="2"/>
    </row>
    <row r="151" spans="21:21">
      <c r="U151" s="2"/>
    </row>
    <row r="152" spans="21:21">
      <c r="U152" s="2"/>
    </row>
    <row r="153" spans="21:21">
      <c r="U153" s="2"/>
    </row>
    <row r="154" spans="21:21">
      <c r="U154" s="2"/>
    </row>
    <row r="155" spans="21:21">
      <c r="U155" s="2"/>
    </row>
    <row r="156" spans="21:21">
      <c r="U156" s="2"/>
    </row>
    <row r="157" spans="21:21">
      <c r="U157" s="2"/>
    </row>
    <row r="158" spans="21:21">
      <c r="U158" s="2"/>
    </row>
    <row r="159" spans="21:21">
      <c r="U159" s="2"/>
    </row>
    <row r="160" spans="21:21">
      <c r="U160" s="2"/>
    </row>
    <row r="161" spans="21:21">
      <c r="U161" s="2"/>
    </row>
    <row r="162" spans="21:21">
      <c r="U162" s="2"/>
    </row>
    <row r="163" spans="21:21">
      <c r="U163" s="2"/>
    </row>
    <row r="164" spans="21:21">
      <c r="U164" s="2"/>
    </row>
    <row r="165" spans="21:21">
      <c r="U165" s="2"/>
    </row>
    <row r="166" spans="21:21">
      <c r="U166" s="2"/>
    </row>
    <row r="167" spans="21:21">
      <c r="U167" s="2"/>
    </row>
    <row r="168" spans="21:21">
      <c r="U168" s="2"/>
    </row>
    <row r="169" spans="21:21">
      <c r="U169" s="2"/>
    </row>
    <row r="170" spans="21:21">
      <c r="U170" s="2"/>
    </row>
    <row r="171" spans="21:21">
      <c r="U171" s="2"/>
    </row>
    <row r="172" spans="21:21">
      <c r="U172" s="2"/>
    </row>
    <row r="173" spans="21:21">
      <c r="U173" s="2"/>
    </row>
    <row r="174" spans="21:21">
      <c r="U174" s="2"/>
    </row>
    <row r="175" spans="21:21">
      <c r="U175" s="2"/>
    </row>
    <row r="176" spans="21:21">
      <c r="U176" s="2"/>
    </row>
    <row r="177" spans="21:21">
      <c r="U177" s="2"/>
    </row>
    <row r="178" spans="21:21">
      <c r="U178" s="2"/>
    </row>
    <row r="179" spans="21:21">
      <c r="U179" s="2"/>
    </row>
    <row r="180" spans="21:21">
      <c r="U180" s="2"/>
    </row>
    <row r="181" spans="21:21">
      <c r="U181" s="2"/>
    </row>
    <row r="182" spans="21:21">
      <c r="U182" s="2"/>
    </row>
    <row r="183" spans="21:21">
      <c r="U183" s="2"/>
    </row>
    <row r="184" spans="21:21">
      <c r="U184" s="2"/>
    </row>
    <row r="185" spans="21:21">
      <c r="U185" s="2"/>
    </row>
    <row r="186" spans="21:21">
      <c r="U186" s="2"/>
    </row>
    <row r="187" spans="21:21">
      <c r="U187" s="2"/>
    </row>
    <row r="188" spans="21:21">
      <c r="U188" s="2"/>
    </row>
    <row r="189" spans="21:21">
      <c r="U189" s="2"/>
    </row>
    <row r="190" spans="21:21">
      <c r="U190" s="2"/>
    </row>
    <row r="191" spans="21:21">
      <c r="U191" s="2"/>
    </row>
    <row r="192" spans="21:21">
      <c r="U192" s="2"/>
    </row>
    <row r="193" spans="21:21">
      <c r="U193" s="2"/>
    </row>
    <row r="194" spans="21:21">
      <c r="U194" s="2"/>
    </row>
    <row r="195" spans="21:21">
      <c r="U195" s="2"/>
    </row>
    <row r="196" spans="21:21">
      <c r="U196" s="2"/>
    </row>
    <row r="197" spans="21:21">
      <c r="U197" s="2"/>
    </row>
    <row r="198" spans="21:21">
      <c r="U198" s="2"/>
    </row>
    <row r="199" spans="21:21">
      <c r="U199" s="2"/>
    </row>
    <row r="200" spans="21:21">
      <c r="U200" s="2"/>
    </row>
    <row r="201" spans="21:21">
      <c r="U201" s="2"/>
    </row>
    <row r="202" spans="21:21">
      <c r="U202" s="2"/>
    </row>
    <row r="203" spans="21:21">
      <c r="U203" s="2"/>
    </row>
    <row r="204" spans="21:21">
      <c r="U204" s="2"/>
    </row>
    <row r="205" spans="21:21">
      <c r="U205" s="2"/>
    </row>
    <row r="206" spans="21:21">
      <c r="U206" s="2"/>
    </row>
    <row r="207" spans="21:21">
      <c r="U207" s="2"/>
    </row>
    <row r="208" spans="21:21">
      <c r="U208" s="2"/>
    </row>
    <row r="209" spans="21:21">
      <c r="U209" s="2"/>
    </row>
    <row r="210" spans="21:21">
      <c r="U210" s="2"/>
    </row>
    <row r="211" spans="21:21">
      <c r="U211" s="2"/>
    </row>
    <row r="212" spans="21:21">
      <c r="U212" s="2"/>
    </row>
    <row r="213" spans="21:21">
      <c r="U213" s="2"/>
    </row>
    <row r="214" spans="21:21">
      <c r="U214" s="2"/>
    </row>
    <row r="215" spans="21:21">
      <c r="U215" s="2"/>
    </row>
    <row r="216" spans="21:21">
      <c r="U216" s="2"/>
    </row>
    <row r="217" spans="21:21">
      <c r="U217" s="2"/>
    </row>
    <row r="218" spans="21:21">
      <c r="U218" s="2"/>
    </row>
    <row r="219" spans="21:21">
      <c r="U219" s="2"/>
    </row>
    <row r="220" spans="21:21">
      <c r="U220" s="2"/>
    </row>
    <row r="221" spans="21:21">
      <c r="U221" s="2"/>
    </row>
    <row r="222" spans="21:21">
      <c r="U222" s="2"/>
    </row>
    <row r="223" spans="21:21">
      <c r="U223" s="2"/>
    </row>
    <row r="224" spans="21:21">
      <c r="U224" s="2"/>
    </row>
    <row r="225" spans="21:21">
      <c r="U225" s="2"/>
    </row>
    <row r="226" spans="21:21">
      <c r="U226" s="2"/>
    </row>
    <row r="227" spans="21:21">
      <c r="U227" s="2"/>
    </row>
    <row r="228" spans="21:21">
      <c r="U228" s="2"/>
    </row>
    <row r="229" spans="21:21">
      <c r="U229" s="2"/>
    </row>
    <row r="230" spans="21:21">
      <c r="U230" s="2"/>
    </row>
    <row r="231" spans="21:21">
      <c r="U231" s="2"/>
    </row>
    <row r="232" spans="21:21">
      <c r="U232" s="2"/>
    </row>
    <row r="233" spans="21:21">
      <c r="U233" s="2"/>
    </row>
    <row r="234" spans="21:21">
      <c r="U234" s="2"/>
    </row>
    <row r="235" spans="21:21">
      <c r="U235" s="2"/>
    </row>
    <row r="236" spans="21:21">
      <c r="U236" s="2"/>
    </row>
    <row r="237" spans="21:21">
      <c r="U237" s="2"/>
    </row>
    <row r="238" spans="21:21">
      <c r="U238" s="2"/>
    </row>
    <row r="239" spans="21:21">
      <c r="U239" s="2"/>
    </row>
    <row r="240" spans="21:21">
      <c r="U240" s="2"/>
    </row>
    <row r="241" spans="21:21">
      <c r="U241" s="2"/>
    </row>
    <row r="242" spans="21:21">
      <c r="U242" s="2"/>
    </row>
    <row r="243" spans="21:21">
      <c r="U243" s="2"/>
    </row>
    <row r="244" spans="21:21">
      <c r="U244" s="2"/>
    </row>
    <row r="245" spans="21:21">
      <c r="U245" s="2"/>
    </row>
    <row r="246" spans="21:21">
      <c r="U246" s="2"/>
    </row>
    <row r="247" spans="21:21">
      <c r="U247" s="2"/>
    </row>
    <row r="248" spans="21:21">
      <c r="U248" s="2"/>
    </row>
    <row r="249" spans="21:21">
      <c r="U249" s="2"/>
    </row>
    <row r="250" spans="21:21">
      <c r="U250" s="2"/>
    </row>
    <row r="251" spans="21:21">
      <c r="U251" s="2"/>
    </row>
    <row r="252" spans="21:21">
      <c r="U252" s="2"/>
    </row>
    <row r="253" spans="21:21">
      <c r="U253" s="2"/>
    </row>
    <row r="254" spans="21:21">
      <c r="U254" s="2"/>
    </row>
    <row r="255" spans="21:21">
      <c r="U255" s="2"/>
    </row>
    <row r="256" spans="21:21">
      <c r="U256" s="2"/>
    </row>
  </sheetData>
  <conditionalFormatting sqref="P3:P22">
    <cfRule type="cellIs" dxfId="11" priority="1" operator="lessThan">
      <formula>0</formula>
    </cfRule>
  </conditionalFormatting>
  <conditionalFormatting sqref="Q3:Q22">
    <cfRule type="containsText" dxfId="10" priority="3" operator="containsText" text="Complete">
      <formula>NOT(ISERROR(SEARCH("Complete",Q3)))</formula>
    </cfRule>
    <cfRule type="containsText" dxfId="9" priority="4" operator="containsText" text="Green">
      <formula>NOT(ISERROR(SEARCH("Green",Q3)))</formula>
    </cfRule>
    <cfRule type="containsText" dxfId="8" priority="5" operator="containsText" text="Amber">
      <formula>NOT(ISERROR(SEARCH("Amber",Q3)))</formula>
    </cfRule>
    <cfRule type="containsText" dxfId="7" priority="6" operator="containsText" text="Red">
      <formula>NOT(ISERROR(SEARCH("Red",Q3)))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701F84F-12F4-48BE-ADBB-78F3E9508304}">
          <x14:formula1>
            <xm:f>Lists!$B$3:$B$7</xm:f>
          </x14:formula1>
          <xm:sqref>H3:H22</xm:sqref>
        </x14:dataValidation>
        <x14:dataValidation type="list" allowBlank="1" showInputMessage="1" showErrorMessage="1" xr:uid="{6DC7769D-D1F7-4735-AAC2-4AD72F11E72F}">
          <x14:formula1>
            <xm:f>Lists!$C$3:$C$7</xm:f>
          </x14:formula1>
          <xm:sqref>J3:J22</xm:sqref>
        </x14:dataValidation>
        <x14:dataValidation type="list" allowBlank="1" showInputMessage="1" showErrorMessage="1" xr:uid="{4FE7ABFC-8081-497A-9AC9-F8D1A8BA5B1C}">
          <x14:formula1>
            <xm:f>Lists!$D$3:$D$8</xm:f>
          </x14:formula1>
          <xm:sqref>K3:K22</xm:sqref>
        </x14:dataValidation>
        <x14:dataValidation type="list" allowBlank="1" showInputMessage="1" showErrorMessage="1" xr:uid="{6333B522-CF07-4276-A5E7-A12E753747C5}">
          <x14:formula1>
            <xm:f>Lists!$A$3:$A$8</xm:f>
          </x14:formula1>
          <xm:sqref>F3:F33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C98C-7700-46A3-8E04-91223F907031}">
  <sheetPr>
    <tabColor rgb="FFF2750E"/>
  </sheetPr>
  <dimension ref="A1:O30"/>
  <sheetViews>
    <sheetView workbookViewId="0">
      <pane ySplit="2" topLeftCell="A3" activePane="bottomLeft" state="frozen"/>
      <selection pane="bottomLeft" activeCell="F24" sqref="F24"/>
    </sheetView>
  </sheetViews>
  <sheetFormatPr defaultRowHeight="15"/>
  <cols>
    <col min="1" max="1" width="14.140625" style="1" bestFit="1" customWidth="1"/>
    <col min="2" max="2" width="17.5703125" style="1" bestFit="1" customWidth="1"/>
    <col min="3" max="3" width="31.42578125" style="1" bestFit="1" customWidth="1"/>
    <col min="4" max="4" width="44.7109375" style="1" bestFit="1" customWidth="1"/>
    <col min="5" max="5" width="21.42578125" style="1" bestFit="1" customWidth="1"/>
    <col min="6" max="6" width="19" style="9" bestFit="1" customWidth="1"/>
    <col min="7" max="7" width="14.42578125" style="9" bestFit="1" customWidth="1"/>
    <col min="8" max="8" width="18" style="1" bestFit="1" customWidth="1"/>
    <col min="9" max="9" width="12.140625" style="1" bestFit="1" customWidth="1"/>
    <col min="10" max="10" width="41.42578125" style="1" bestFit="1" customWidth="1"/>
    <col min="11" max="12" width="33.140625" style="1" customWidth="1"/>
    <col min="13" max="13" width="20.5703125" style="1" customWidth="1"/>
    <col min="14" max="14" width="21" style="9" bestFit="1" customWidth="1"/>
    <col min="15" max="15" width="30" style="1" customWidth="1"/>
    <col min="16" max="16384" width="9.140625" style="2"/>
  </cols>
  <sheetData>
    <row r="1" spans="1:14" ht="23.25">
      <c r="A1" s="22" t="s">
        <v>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>
      <c r="A2" s="1" t="s">
        <v>66</v>
      </c>
      <c r="B2" s="1" t="s">
        <v>0</v>
      </c>
      <c r="C2" s="1" t="s">
        <v>1</v>
      </c>
      <c r="D2" s="1" t="s">
        <v>67</v>
      </c>
      <c r="E2" s="1" t="s">
        <v>68</v>
      </c>
      <c r="F2" s="9" t="s">
        <v>69</v>
      </c>
      <c r="G2" s="9" t="s">
        <v>70</v>
      </c>
      <c r="H2" s="1" t="s">
        <v>71</v>
      </c>
      <c r="I2" s="1" t="s">
        <v>72</v>
      </c>
      <c r="J2" s="1" t="s">
        <v>73</v>
      </c>
      <c r="K2" s="9" t="s">
        <v>74</v>
      </c>
      <c r="L2" s="9" t="s">
        <v>141</v>
      </c>
      <c r="M2" s="3" t="s">
        <v>246</v>
      </c>
      <c r="N2" s="3" t="s">
        <v>247</v>
      </c>
    </row>
    <row r="3" spans="1:14" ht="21.75" customHeight="1">
      <c r="A3" s="1" t="s">
        <v>75</v>
      </c>
      <c r="B3" s="1" t="s">
        <v>23</v>
      </c>
      <c r="C3" s="1" t="s">
        <v>16</v>
      </c>
      <c r="D3" s="1" t="s">
        <v>76</v>
      </c>
      <c r="E3" s="1" t="s">
        <v>46</v>
      </c>
      <c r="F3" s="9">
        <v>46154</v>
      </c>
      <c r="G3" s="9">
        <v>46162</v>
      </c>
      <c r="H3" s="1" t="s">
        <v>36</v>
      </c>
      <c r="I3" s="1" t="s">
        <v>77</v>
      </c>
      <c r="J3" s="1" t="s">
        <v>78</v>
      </c>
      <c r="K3" s="9"/>
      <c r="L3" s="9" t="s">
        <v>42</v>
      </c>
      <c r="M3" s="11">
        <f ca="1">IF(ActionTracker[[#This Row],[Action_Status]]="Completed","",IF(TODAY()&gt;ActionTracker[[#This Row],[Due_Date]],TODAY()-ActionTracker[[#This Row],[Due_Date]],""))</f>
        <v>1</v>
      </c>
      <c r="N3" s="9" t="str">
        <f ca="1">IF(ActionTracker[[#This Row],[Action_Status]]="Completed","Complete",IF(ActionTracker[[#This Row],[Days_Overdue]]="","Green","Red"))</f>
        <v>Red</v>
      </c>
    </row>
    <row r="4" spans="1:14" ht="21.75" customHeight="1">
      <c r="A4" s="1" t="s">
        <v>79</v>
      </c>
      <c r="B4" s="1" t="s">
        <v>24</v>
      </c>
      <c r="C4" s="1" t="s">
        <v>17</v>
      </c>
      <c r="D4" s="1" t="s">
        <v>80</v>
      </c>
      <c r="E4" s="1" t="s">
        <v>45</v>
      </c>
      <c r="F4" s="9">
        <v>46156</v>
      </c>
      <c r="G4" s="9">
        <v>46163</v>
      </c>
      <c r="H4" s="1" t="s">
        <v>39</v>
      </c>
      <c r="I4" s="1" t="s">
        <v>77</v>
      </c>
      <c r="J4" s="1" t="s">
        <v>81</v>
      </c>
      <c r="K4" s="9"/>
      <c r="L4" s="9" t="s">
        <v>42</v>
      </c>
      <c r="M4" s="11" t="str">
        <f ca="1">IF(ActionTracker[[#This Row],[Action_Status]]="Completed","",IF(TODAY()&gt;ActionTracker[[#This Row],[Due_Date]],TODAY()-ActionTracker[[#This Row],[Due_Date]],""))</f>
        <v/>
      </c>
      <c r="N4" s="9" t="str">
        <f ca="1">IF(ActionTracker[[#This Row],[Action_Status]]="Completed","Complete",IF(ActionTracker[[#This Row],[Days_Overdue]]="","Green","Red"))</f>
        <v>Green</v>
      </c>
    </row>
    <row r="5" spans="1:14" ht="21.75" customHeight="1">
      <c r="A5" s="1" t="s">
        <v>82</v>
      </c>
      <c r="B5" s="1" t="s">
        <v>25</v>
      </c>
      <c r="C5" s="1" t="s">
        <v>18</v>
      </c>
      <c r="D5" s="1" t="s">
        <v>83</v>
      </c>
      <c r="E5" s="1" t="s">
        <v>52</v>
      </c>
      <c r="F5" s="9">
        <v>46157</v>
      </c>
      <c r="G5" s="9">
        <v>46170</v>
      </c>
      <c r="H5" s="1" t="s">
        <v>36</v>
      </c>
      <c r="I5" s="1" t="s">
        <v>84</v>
      </c>
      <c r="J5" s="1" t="s">
        <v>85</v>
      </c>
      <c r="K5" s="9"/>
      <c r="L5" s="9" t="s">
        <v>42</v>
      </c>
      <c r="M5" s="11" t="str">
        <f ca="1">IF(ActionTracker[[#This Row],[Action_Status]]="Completed","",IF(TODAY()&gt;ActionTracker[[#This Row],[Due_Date]],TODAY()-ActionTracker[[#This Row],[Due_Date]],""))</f>
        <v/>
      </c>
      <c r="N5" s="9" t="str">
        <f ca="1">IF(ActionTracker[[#This Row],[Action_Status]]="Completed","Complete",IF(ActionTracker[[#This Row],[Days_Overdue]]="","Green","Red"))</f>
        <v>Green</v>
      </c>
    </row>
    <row r="6" spans="1:14" ht="21.75" customHeight="1">
      <c r="A6" s="1" t="s">
        <v>86</v>
      </c>
      <c r="B6" s="1" t="s">
        <v>26</v>
      </c>
      <c r="C6" s="1" t="s">
        <v>19</v>
      </c>
      <c r="D6" s="1" t="s">
        <v>87</v>
      </c>
      <c r="E6" s="1" t="s">
        <v>53</v>
      </c>
      <c r="F6" s="9">
        <v>46158</v>
      </c>
      <c r="G6" s="9">
        <v>46172</v>
      </c>
      <c r="H6" s="1" t="s">
        <v>38</v>
      </c>
      <c r="I6" s="1" t="s">
        <v>84</v>
      </c>
      <c r="J6" s="1" t="s">
        <v>88</v>
      </c>
      <c r="K6" s="9">
        <v>46164</v>
      </c>
      <c r="L6" s="9" t="s">
        <v>41</v>
      </c>
      <c r="M6" s="11" t="str">
        <f ca="1">IF(ActionTracker[[#This Row],[Action_Status]]="Completed","",IF(TODAY()&gt;ActionTracker[[#This Row],[Due_Date]],TODAY()-ActionTracker[[#This Row],[Due_Date]],""))</f>
        <v/>
      </c>
      <c r="N6" s="9" t="str">
        <f>IF(ActionTracker[[#This Row],[Action_Status]]="Completed","Complete",IF(ActionTracker[[#This Row],[Days_Overdue]]="","Green","Red"))</f>
        <v>Complete</v>
      </c>
    </row>
    <row r="7" spans="1:14" ht="21.75" customHeight="1">
      <c r="A7" s="1" t="s">
        <v>89</v>
      </c>
      <c r="B7" s="1" t="s">
        <v>27</v>
      </c>
      <c r="C7" s="1" t="s">
        <v>20</v>
      </c>
      <c r="D7" s="1" t="s">
        <v>90</v>
      </c>
      <c r="E7" s="1" t="s">
        <v>54</v>
      </c>
      <c r="F7" s="9">
        <v>46159</v>
      </c>
      <c r="G7" s="9">
        <v>46171</v>
      </c>
      <c r="H7" s="1" t="s">
        <v>39</v>
      </c>
      <c r="I7" s="1" t="s">
        <v>91</v>
      </c>
      <c r="J7" s="1" t="s">
        <v>92</v>
      </c>
      <c r="K7" s="9"/>
      <c r="L7" s="9" t="s">
        <v>42</v>
      </c>
      <c r="M7" s="11" t="str">
        <f ca="1">IF(ActionTracker[[#This Row],[Action_Status]]="Completed","",IF(TODAY()&gt;ActionTracker[[#This Row],[Due_Date]],TODAY()-ActionTracker[[#This Row],[Due_Date]],""))</f>
        <v/>
      </c>
      <c r="N7" s="9" t="str">
        <f ca="1">IF(ActionTracker[[#This Row],[Action_Status]]="Completed","Complete",IF(ActionTracker[[#This Row],[Days_Overdue]]="","Green","Red"))</f>
        <v>Green</v>
      </c>
    </row>
    <row r="8" spans="1:14" ht="21.75" customHeight="1">
      <c r="A8" s="1" t="s">
        <v>93</v>
      </c>
      <c r="B8" s="1" t="s">
        <v>28</v>
      </c>
      <c r="C8" s="1" t="s">
        <v>21</v>
      </c>
      <c r="D8" s="1" t="s">
        <v>94</v>
      </c>
      <c r="E8" s="1" t="s">
        <v>55</v>
      </c>
      <c r="F8" s="9">
        <v>46160</v>
      </c>
      <c r="G8" s="9">
        <v>46176</v>
      </c>
      <c r="H8" s="1" t="s">
        <v>36</v>
      </c>
      <c r="I8" s="1" t="s">
        <v>77</v>
      </c>
      <c r="J8" s="1" t="s">
        <v>95</v>
      </c>
      <c r="K8" s="9"/>
      <c r="L8" s="9" t="s">
        <v>42</v>
      </c>
      <c r="M8" s="11" t="str">
        <f ca="1">IF(ActionTracker[[#This Row],[Action_Status]]="Completed","",IF(TODAY()&gt;ActionTracker[[#This Row],[Due_Date]],TODAY()-ActionTracker[[#This Row],[Due_Date]],""))</f>
        <v/>
      </c>
      <c r="N8" s="9" t="str">
        <f ca="1">IF(ActionTracker[[#This Row],[Action_Status]]="Completed","Complete",IF(ActionTracker[[#This Row],[Days_Overdue]]="","Green","Red"))</f>
        <v>Green</v>
      </c>
    </row>
    <row r="9" spans="1:14" ht="21.75" customHeight="1">
      <c r="A9" s="1" t="s">
        <v>96</v>
      </c>
      <c r="B9" s="1" t="s">
        <v>29</v>
      </c>
      <c r="C9" s="1" t="s">
        <v>22</v>
      </c>
      <c r="D9" s="1" t="s">
        <v>97</v>
      </c>
      <c r="E9" s="1" t="s">
        <v>56</v>
      </c>
      <c r="F9" s="9">
        <v>46161</v>
      </c>
      <c r="G9" s="9">
        <v>46183</v>
      </c>
      <c r="H9" s="1" t="s">
        <v>40</v>
      </c>
      <c r="I9" s="1" t="s">
        <v>84</v>
      </c>
      <c r="J9" s="1" t="s">
        <v>98</v>
      </c>
      <c r="K9" s="9"/>
      <c r="L9" s="9" t="s">
        <v>42</v>
      </c>
      <c r="M9" s="11" t="str">
        <f ca="1">IF(ActionTracker[[#This Row],[Action_Status]]="Completed","",IF(TODAY()&gt;ActionTracker[[#This Row],[Due_Date]],TODAY()-ActionTracker[[#This Row],[Due_Date]],""))</f>
        <v/>
      </c>
      <c r="N9" s="9" t="str">
        <f ca="1">IF(ActionTracker[[#This Row],[Action_Status]]="Completed","Complete",IF(ActionTracker[[#This Row],[Days_Overdue]]="","Green","Red"))</f>
        <v>Green</v>
      </c>
    </row>
    <row r="10" spans="1:14" ht="21.75" customHeight="1">
      <c r="A10" s="1" t="s">
        <v>177</v>
      </c>
      <c r="B10" s="1" t="s">
        <v>151</v>
      </c>
      <c r="C10" s="1" t="s">
        <v>16</v>
      </c>
      <c r="D10" s="1" t="s">
        <v>178</v>
      </c>
      <c r="E10" s="1" t="s">
        <v>46</v>
      </c>
      <c r="F10" s="9">
        <v>46174</v>
      </c>
      <c r="G10" s="10">
        <v>46183</v>
      </c>
      <c r="H10" s="1" t="s">
        <v>36</v>
      </c>
      <c r="I10" s="1" t="s">
        <v>77</v>
      </c>
      <c r="J10" s="1" t="s">
        <v>179</v>
      </c>
      <c r="K10" s="9"/>
      <c r="L10" s="9" t="s">
        <v>42</v>
      </c>
      <c r="M10" s="11" t="str">
        <f ca="1">IF(ActionTracker[[#This Row],[Action_Status]]="Completed","",IF(TODAY()&gt;ActionTracker[[#This Row],[Due_Date]],TODAY()-ActionTracker[[#This Row],[Due_Date]],""))</f>
        <v/>
      </c>
      <c r="N10" s="9" t="str">
        <f ca="1">IF(ActionTracker[[#This Row],[Action_Status]]="Completed","Complete",IF(ActionTracker[[#This Row],[Days_Overdue]]="","Green","Red"))</f>
        <v>Green</v>
      </c>
    </row>
    <row r="11" spans="1:14" ht="21.75" customHeight="1">
      <c r="A11" s="1" t="s">
        <v>180</v>
      </c>
      <c r="B11" s="1" t="s">
        <v>153</v>
      </c>
      <c r="C11" s="1" t="s">
        <v>17</v>
      </c>
      <c r="D11" s="1" t="s">
        <v>181</v>
      </c>
      <c r="E11" s="1" t="s">
        <v>45</v>
      </c>
      <c r="F11" s="9">
        <v>46176</v>
      </c>
      <c r="G11" s="9">
        <v>46181</v>
      </c>
      <c r="H11" s="1" t="s">
        <v>38</v>
      </c>
      <c r="I11" s="1" t="s">
        <v>77</v>
      </c>
      <c r="J11" s="1" t="s">
        <v>182</v>
      </c>
      <c r="K11" s="9">
        <v>46181</v>
      </c>
      <c r="L11" s="9" t="s">
        <v>41</v>
      </c>
      <c r="M11" s="11" t="str">
        <f ca="1">IF(ActionTracker[[#This Row],[Action_Status]]="Completed","",IF(TODAY()&gt;ActionTracker[[#This Row],[Due_Date]],TODAY()-ActionTracker[[#This Row],[Due_Date]],""))</f>
        <v/>
      </c>
      <c r="N11" s="9" t="str">
        <f>IF(ActionTracker[[#This Row],[Action_Status]]="Completed","Complete",IF(ActionTracker[[#This Row],[Days_Overdue]]="","Green","Red"))</f>
        <v>Complete</v>
      </c>
    </row>
    <row r="12" spans="1:14" ht="21.75" customHeight="1">
      <c r="A12" s="1" t="s">
        <v>183</v>
      </c>
      <c r="B12" s="1" t="s">
        <v>155</v>
      </c>
      <c r="C12" s="1" t="s">
        <v>18</v>
      </c>
      <c r="D12" s="1" t="s">
        <v>184</v>
      </c>
      <c r="E12" s="1" t="s">
        <v>52</v>
      </c>
      <c r="F12" s="9">
        <v>46178</v>
      </c>
      <c r="G12" s="9">
        <v>46188</v>
      </c>
      <c r="H12" s="1" t="s">
        <v>39</v>
      </c>
      <c r="I12" s="1" t="s">
        <v>84</v>
      </c>
      <c r="J12" s="1" t="s">
        <v>185</v>
      </c>
      <c r="K12" s="9"/>
      <c r="L12" s="9" t="s">
        <v>42</v>
      </c>
      <c r="M12" s="11" t="str">
        <f ca="1">IF(ActionTracker[[#This Row],[Action_Status]]="Completed","",IF(TODAY()&gt;ActionTracker[[#This Row],[Due_Date]],TODAY()-ActionTracker[[#This Row],[Due_Date]],""))</f>
        <v/>
      </c>
      <c r="N12" s="9" t="str">
        <f ca="1">IF(ActionTracker[[#This Row],[Action_Status]]="Completed","Complete",IF(ActionTracker[[#This Row],[Days_Overdue]]="","Green","Red"))</f>
        <v>Green</v>
      </c>
    </row>
    <row r="13" spans="1:14" ht="21.75" customHeight="1">
      <c r="A13" s="1" t="s">
        <v>186</v>
      </c>
      <c r="B13" s="1" t="s">
        <v>157</v>
      </c>
      <c r="C13" s="1" t="s">
        <v>19</v>
      </c>
      <c r="D13" s="1" t="s">
        <v>187</v>
      </c>
      <c r="E13" s="1" t="s">
        <v>53</v>
      </c>
      <c r="F13" s="9">
        <v>46179</v>
      </c>
      <c r="G13" s="9">
        <v>46193</v>
      </c>
      <c r="H13" s="1" t="s">
        <v>36</v>
      </c>
      <c r="I13" s="1" t="s">
        <v>84</v>
      </c>
      <c r="J13" s="1" t="s">
        <v>188</v>
      </c>
      <c r="K13" s="9"/>
      <c r="L13" s="9" t="s">
        <v>42</v>
      </c>
      <c r="M13" s="11" t="str">
        <f ca="1">IF(ActionTracker[[#This Row],[Action_Status]]="Completed","",IF(TODAY()&gt;ActionTracker[[#This Row],[Due_Date]],TODAY()-ActionTracker[[#This Row],[Due_Date]],""))</f>
        <v/>
      </c>
      <c r="N13" s="9" t="str">
        <f ca="1">IF(ActionTracker[[#This Row],[Action_Status]]="Completed","Complete",IF(ActionTracker[[#This Row],[Days_Overdue]]="","Green","Red"))</f>
        <v>Green</v>
      </c>
    </row>
    <row r="14" spans="1:14" ht="21.75" customHeight="1">
      <c r="A14" s="1" t="s">
        <v>189</v>
      </c>
      <c r="B14" s="1" t="s">
        <v>159</v>
      </c>
      <c r="C14" s="1" t="s">
        <v>20</v>
      </c>
      <c r="D14" s="1" t="s">
        <v>190</v>
      </c>
      <c r="E14" s="1" t="s">
        <v>54</v>
      </c>
      <c r="F14" s="9">
        <v>46180</v>
      </c>
      <c r="G14" s="9">
        <v>46191</v>
      </c>
      <c r="H14" s="1" t="s">
        <v>40</v>
      </c>
      <c r="I14" s="1" t="s">
        <v>91</v>
      </c>
      <c r="J14" s="1" t="s">
        <v>191</v>
      </c>
      <c r="K14" s="9"/>
      <c r="L14" s="9" t="s">
        <v>42</v>
      </c>
      <c r="M14" s="11" t="str">
        <f ca="1">IF(ActionTracker[[#This Row],[Action_Status]]="Completed","",IF(TODAY()&gt;ActionTracker[[#This Row],[Due_Date]],TODAY()-ActionTracker[[#This Row],[Due_Date]],""))</f>
        <v/>
      </c>
      <c r="N14" s="9" t="str">
        <f ca="1">IF(ActionTracker[[#This Row],[Action_Status]]="Completed","Complete",IF(ActionTracker[[#This Row],[Days_Overdue]]="","Green","Red"))</f>
        <v>Green</v>
      </c>
    </row>
    <row r="15" spans="1:14" ht="21.75" customHeight="1">
      <c r="A15" s="1" t="s">
        <v>192</v>
      </c>
      <c r="B15" s="1" t="s">
        <v>161</v>
      </c>
      <c r="C15" s="1" t="s">
        <v>21</v>
      </c>
      <c r="D15" s="1" t="s">
        <v>193</v>
      </c>
      <c r="E15" s="1" t="s">
        <v>55</v>
      </c>
      <c r="F15" s="9">
        <v>46181</v>
      </c>
      <c r="G15" s="9">
        <v>46185</v>
      </c>
      <c r="H15" s="1" t="s">
        <v>38</v>
      </c>
      <c r="I15" s="1" t="s">
        <v>77</v>
      </c>
      <c r="J15" s="1" t="s">
        <v>194</v>
      </c>
      <c r="K15" s="9">
        <v>46185</v>
      </c>
      <c r="L15" s="9" t="s">
        <v>41</v>
      </c>
      <c r="M15" s="11" t="str">
        <f ca="1">IF(ActionTracker[[#This Row],[Action_Status]]="Completed","",IF(TODAY()&gt;ActionTracker[[#This Row],[Due_Date]],TODAY()-ActionTracker[[#This Row],[Due_Date]],""))</f>
        <v/>
      </c>
      <c r="N15" s="9" t="str">
        <f>IF(ActionTracker[[#This Row],[Action_Status]]="Completed","Complete",IF(ActionTracker[[#This Row],[Days_Overdue]]="","Green","Red"))</f>
        <v>Complete</v>
      </c>
    </row>
    <row r="16" spans="1:14" ht="21.75" customHeight="1">
      <c r="A16" s="1" t="s">
        <v>195</v>
      </c>
      <c r="B16" s="1" t="s">
        <v>163</v>
      </c>
      <c r="C16" s="1" t="s">
        <v>22</v>
      </c>
      <c r="D16" s="1" t="s">
        <v>196</v>
      </c>
      <c r="E16" s="1" t="s">
        <v>56</v>
      </c>
      <c r="F16" s="9">
        <v>46182</v>
      </c>
      <c r="G16" s="9">
        <v>46198</v>
      </c>
      <c r="H16" s="1" t="s">
        <v>36</v>
      </c>
      <c r="I16" s="1" t="s">
        <v>84</v>
      </c>
      <c r="J16" s="1" t="s">
        <v>197</v>
      </c>
      <c r="K16" s="9"/>
      <c r="L16" s="9" t="s">
        <v>42</v>
      </c>
      <c r="M16" s="11" t="str">
        <f ca="1">IF(ActionTracker[[#This Row],[Action_Status]]="Completed","",IF(TODAY()&gt;ActionTracker[[#This Row],[Due_Date]],TODAY()-ActionTracker[[#This Row],[Due_Date]],""))</f>
        <v/>
      </c>
      <c r="N16" s="9" t="str">
        <f ca="1">IF(ActionTracker[[#This Row],[Action_Status]]="Completed","Complete",IF(ActionTracker[[#This Row],[Days_Overdue]]="","Green","Red"))</f>
        <v>Green</v>
      </c>
    </row>
    <row r="17" spans="1:14" ht="21.75" customHeight="1">
      <c r="A17" s="1" t="s">
        <v>198</v>
      </c>
      <c r="B17" s="1" t="s">
        <v>165</v>
      </c>
      <c r="C17" s="1" t="s">
        <v>16</v>
      </c>
      <c r="D17" s="1" t="s">
        <v>199</v>
      </c>
      <c r="E17" s="1" t="s">
        <v>51</v>
      </c>
      <c r="F17" s="9">
        <v>46183</v>
      </c>
      <c r="G17" s="9">
        <v>46147</v>
      </c>
      <c r="H17" s="1" t="s">
        <v>39</v>
      </c>
      <c r="I17" s="1" t="s">
        <v>77</v>
      </c>
      <c r="J17" s="1" t="s">
        <v>200</v>
      </c>
      <c r="K17" s="9"/>
      <c r="L17" s="9" t="s">
        <v>42</v>
      </c>
      <c r="M17" s="11">
        <f ca="1">IF(ActionTracker[[#This Row],[Action_Status]]="Completed","",IF(TODAY()&gt;ActionTracker[[#This Row],[Due_Date]],TODAY()-ActionTracker[[#This Row],[Due_Date]],""))</f>
        <v>16</v>
      </c>
      <c r="N17" s="9" t="str">
        <f ca="1">IF(ActionTracker[[#This Row],[Action_Status]]="Completed","Complete",IF(ActionTracker[[#This Row],[Days_Overdue]]="","Green","Red"))</f>
        <v>Red</v>
      </c>
    </row>
    <row r="18" spans="1:14" ht="21.75" customHeight="1">
      <c r="A18" s="1" t="s">
        <v>201</v>
      </c>
      <c r="B18" s="1" t="s">
        <v>167</v>
      </c>
      <c r="C18" s="1" t="s">
        <v>17</v>
      </c>
      <c r="D18" s="1" t="s">
        <v>202</v>
      </c>
      <c r="E18" s="1" t="s">
        <v>51</v>
      </c>
      <c r="F18" s="9">
        <v>46184</v>
      </c>
      <c r="G18" s="9">
        <v>46190</v>
      </c>
      <c r="H18" s="1" t="s">
        <v>38</v>
      </c>
      <c r="I18" s="1" t="s">
        <v>84</v>
      </c>
      <c r="J18" s="1" t="s">
        <v>203</v>
      </c>
      <c r="K18" s="9">
        <v>46190</v>
      </c>
      <c r="L18" s="9" t="s">
        <v>41</v>
      </c>
      <c r="M18" s="11" t="str">
        <f ca="1">IF(ActionTracker[[#This Row],[Action_Status]]="Completed","",IF(TODAY()&gt;ActionTracker[[#This Row],[Due_Date]],TODAY()-ActionTracker[[#This Row],[Due_Date]],""))</f>
        <v/>
      </c>
      <c r="N18" s="9" t="str">
        <f>IF(ActionTracker[[#This Row],[Action_Status]]="Completed","Complete",IF(ActionTracker[[#This Row],[Days_Overdue]]="","Green","Red"))</f>
        <v>Complete</v>
      </c>
    </row>
    <row r="19" spans="1:14" ht="21.75" customHeight="1">
      <c r="A19" s="1" t="s">
        <v>204</v>
      </c>
      <c r="B19" s="1" t="s">
        <v>169</v>
      </c>
      <c r="C19" s="1" t="s">
        <v>18</v>
      </c>
      <c r="D19" s="1" t="s">
        <v>205</v>
      </c>
      <c r="E19" s="1" t="s">
        <v>52</v>
      </c>
      <c r="F19" s="9">
        <v>46185</v>
      </c>
      <c r="G19" s="9">
        <v>46154</v>
      </c>
      <c r="H19" s="1" t="s">
        <v>36</v>
      </c>
      <c r="I19" s="1" t="s">
        <v>77</v>
      </c>
      <c r="J19" s="1" t="s">
        <v>206</v>
      </c>
      <c r="K19" s="9"/>
      <c r="L19" s="9" t="s">
        <v>42</v>
      </c>
      <c r="M19" s="11">
        <f ca="1">IF(ActionTracker[[#This Row],[Action_Status]]="Completed","",IF(TODAY()&gt;ActionTracker[[#This Row],[Due_Date]],TODAY()-ActionTracker[[#This Row],[Due_Date]],""))</f>
        <v>9</v>
      </c>
      <c r="N19" s="9" t="str">
        <f ca="1">IF(ActionTracker[[#This Row],[Action_Status]]="Completed","Complete",IF(ActionTracker[[#This Row],[Days_Overdue]]="","Green","Red"))</f>
        <v>Red</v>
      </c>
    </row>
    <row r="20" spans="1:14" ht="21.75" customHeight="1">
      <c r="A20" s="1" t="s">
        <v>207</v>
      </c>
      <c r="B20" s="1" t="s">
        <v>171</v>
      </c>
      <c r="C20" s="1" t="s">
        <v>19</v>
      </c>
      <c r="D20" s="1" t="s">
        <v>208</v>
      </c>
      <c r="E20" s="1" t="s">
        <v>53</v>
      </c>
      <c r="F20" s="9">
        <v>46186</v>
      </c>
      <c r="G20" s="9">
        <v>46203</v>
      </c>
      <c r="H20" s="1" t="s">
        <v>39</v>
      </c>
      <c r="I20" s="1" t="s">
        <v>91</v>
      </c>
      <c r="J20" s="1" t="s">
        <v>209</v>
      </c>
      <c r="K20" s="9"/>
      <c r="L20" s="9" t="s">
        <v>42</v>
      </c>
      <c r="M20" s="11" t="str">
        <f ca="1">IF(ActionTracker[[#This Row],[Action_Status]]="Completed","",IF(TODAY()&gt;ActionTracker[[#This Row],[Due_Date]],TODAY()-ActionTracker[[#This Row],[Due_Date]],""))</f>
        <v/>
      </c>
      <c r="N20" s="9" t="str">
        <f ca="1">IF(ActionTracker[[#This Row],[Action_Status]]="Completed","Complete",IF(ActionTracker[[#This Row],[Days_Overdue]]="","Green","Red"))</f>
        <v>Green</v>
      </c>
    </row>
    <row r="21" spans="1:14" ht="21.75" customHeight="1">
      <c r="A21" s="1" t="s">
        <v>210</v>
      </c>
      <c r="B21" s="1" t="s">
        <v>173</v>
      </c>
      <c r="C21" s="1" t="s">
        <v>20</v>
      </c>
      <c r="D21" s="1" t="s">
        <v>211</v>
      </c>
      <c r="E21" s="1" t="s">
        <v>54</v>
      </c>
      <c r="F21" s="9">
        <v>46187</v>
      </c>
      <c r="G21" s="9">
        <v>46192</v>
      </c>
      <c r="H21" s="1" t="s">
        <v>38</v>
      </c>
      <c r="I21" s="1" t="s">
        <v>84</v>
      </c>
      <c r="J21" s="1" t="s">
        <v>212</v>
      </c>
      <c r="K21" s="9">
        <v>46192</v>
      </c>
      <c r="L21" s="9" t="s">
        <v>41</v>
      </c>
      <c r="M21" s="11" t="str">
        <f ca="1">IF(ActionTracker[[#This Row],[Action_Status]]="Completed","",IF(TODAY()&gt;ActionTracker[[#This Row],[Due_Date]],TODAY()-ActionTracker[[#This Row],[Due_Date]],""))</f>
        <v/>
      </c>
      <c r="N21" s="9" t="str">
        <f>IF(ActionTracker[[#This Row],[Action_Status]]="Completed","Complete",IF(ActionTracker[[#This Row],[Days_Overdue]]="","Green","Red"))</f>
        <v>Complete</v>
      </c>
    </row>
    <row r="22" spans="1:14" ht="21.75" customHeight="1">
      <c r="A22" s="1" t="s">
        <v>213</v>
      </c>
      <c r="B22" s="1" t="s">
        <v>175</v>
      </c>
      <c r="C22" s="1" t="s">
        <v>21</v>
      </c>
      <c r="D22" s="1" t="s">
        <v>214</v>
      </c>
      <c r="E22" s="1" t="s">
        <v>55</v>
      </c>
      <c r="F22" s="9">
        <v>46188</v>
      </c>
      <c r="G22" s="9">
        <v>46199</v>
      </c>
      <c r="H22" s="1" t="s">
        <v>36</v>
      </c>
      <c r="I22" s="1" t="s">
        <v>84</v>
      </c>
      <c r="J22" s="1" t="s">
        <v>215</v>
      </c>
      <c r="K22" s="9"/>
      <c r="L22" s="9" t="s">
        <v>42</v>
      </c>
      <c r="M22" s="11" t="str">
        <f ca="1">IF(ActionTracker[[#This Row],[Action_Status]]="Completed","",IF(TODAY()&gt;ActionTracker[[#This Row],[Due_Date]],TODAY()-ActionTracker[[#This Row],[Due_Date]],""))</f>
        <v/>
      </c>
      <c r="N22" s="9" t="str">
        <f ca="1">IF(ActionTracker[[#This Row],[Action_Status]]="Completed","Complete",IF(ActionTracker[[#This Row],[Days_Overdue]]="","Green","Red"))</f>
        <v>Green</v>
      </c>
    </row>
    <row r="23" spans="1:14" ht="21.75" customHeight="1">
      <c r="A23" s="1" t="s">
        <v>216</v>
      </c>
      <c r="B23" s="1" t="s">
        <v>217</v>
      </c>
      <c r="C23" s="1" t="s">
        <v>22</v>
      </c>
      <c r="D23" s="1" t="s">
        <v>218</v>
      </c>
      <c r="E23" s="1" t="s">
        <v>56</v>
      </c>
      <c r="F23" s="9">
        <v>46189</v>
      </c>
      <c r="G23" s="9">
        <v>46208</v>
      </c>
      <c r="H23" s="1" t="s">
        <v>40</v>
      </c>
      <c r="I23" s="1" t="s">
        <v>91</v>
      </c>
      <c r="J23" s="1" t="s">
        <v>219</v>
      </c>
      <c r="K23" s="9"/>
      <c r="L23" s="9" t="s">
        <v>42</v>
      </c>
      <c r="M23" s="11" t="str">
        <f ca="1">IF(ActionTracker[[#This Row],[Action_Status]]="Completed","",IF(TODAY()&gt;ActionTracker[[#This Row],[Due_Date]],TODAY()-ActionTracker[[#This Row],[Due_Date]],""))</f>
        <v/>
      </c>
      <c r="N23" s="9" t="str">
        <f ca="1">IF(ActionTracker[[#This Row],[Action_Status]]="Completed","Complete",IF(ActionTracker[[#This Row],[Days_Overdue]]="","Green","Red"))</f>
        <v>Green</v>
      </c>
    </row>
    <row r="24" spans="1:14" ht="21.75" customHeight="1">
      <c r="A24" s="1" t="s">
        <v>220</v>
      </c>
      <c r="B24" s="1" t="s">
        <v>221</v>
      </c>
      <c r="C24" s="1" t="s">
        <v>16</v>
      </c>
      <c r="D24" s="1" t="s">
        <v>222</v>
      </c>
      <c r="E24" s="1" t="s">
        <v>51</v>
      </c>
      <c r="F24" s="9">
        <v>46190</v>
      </c>
      <c r="G24" s="9">
        <v>46200</v>
      </c>
      <c r="H24" s="1" t="s">
        <v>36</v>
      </c>
      <c r="I24" s="1" t="s">
        <v>77</v>
      </c>
      <c r="J24" s="1" t="s">
        <v>223</v>
      </c>
      <c r="K24" s="9"/>
      <c r="L24" s="9" t="s">
        <v>42</v>
      </c>
      <c r="M24" s="11" t="str">
        <f ca="1">IF(ActionTracker[[#This Row],[Action_Status]]="Completed","",IF(TODAY()&gt;ActionTracker[[#This Row],[Due_Date]],TODAY()-ActionTracker[[#This Row],[Due_Date]],""))</f>
        <v/>
      </c>
      <c r="N24" s="9" t="str">
        <f ca="1">IF(ActionTracker[[#This Row],[Action_Status]]="Completed","Complete",IF(ActionTracker[[#This Row],[Days_Overdue]]="","Green","Red"))</f>
        <v>Green</v>
      </c>
    </row>
    <row r="25" spans="1:14" ht="21.75" customHeight="1">
      <c r="A25" s="1" t="s">
        <v>224</v>
      </c>
      <c r="B25" s="1" t="s">
        <v>225</v>
      </c>
      <c r="C25" s="1" t="s">
        <v>17</v>
      </c>
      <c r="D25" s="1" t="s">
        <v>226</v>
      </c>
      <c r="E25" s="1" t="s">
        <v>227</v>
      </c>
      <c r="F25" s="9">
        <v>46191</v>
      </c>
      <c r="G25" s="9">
        <v>46205</v>
      </c>
      <c r="H25" s="1" t="s">
        <v>39</v>
      </c>
      <c r="I25" s="1" t="s">
        <v>84</v>
      </c>
      <c r="J25" s="1" t="s">
        <v>228</v>
      </c>
      <c r="K25" s="9"/>
      <c r="L25" s="9" t="s">
        <v>42</v>
      </c>
      <c r="M25" s="11" t="str">
        <f ca="1">IF(ActionTracker[[#This Row],[Action_Status]]="Completed","",IF(TODAY()&gt;ActionTracker[[#This Row],[Due_Date]],TODAY()-ActionTracker[[#This Row],[Due_Date]],""))</f>
        <v/>
      </c>
      <c r="N25" s="9" t="str">
        <f ca="1">IF(ActionTracker[[#This Row],[Action_Status]]="Completed","Complete",IF(ActionTracker[[#This Row],[Days_Overdue]]="","Green","Red"))</f>
        <v>Green</v>
      </c>
    </row>
    <row r="26" spans="1:14" ht="21.75" customHeight="1">
      <c r="A26" s="1" t="s">
        <v>229</v>
      </c>
      <c r="B26" s="1" t="s">
        <v>230</v>
      </c>
      <c r="C26" s="1" t="s">
        <v>18</v>
      </c>
      <c r="D26" s="1" t="s">
        <v>231</v>
      </c>
      <c r="E26" s="1" t="s">
        <v>52</v>
      </c>
      <c r="F26" s="9">
        <v>46192</v>
      </c>
      <c r="G26" s="9">
        <v>46211</v>
      </c>
      <c r="H26" s="1" t="s">
        <v>36</v>
      </c>
      <c r="I26" s="1" t="s">
        <v>77</v>
      </c>
      <c r="J26" s="1" t="s">
        <v>232</v>
      </c>
      <c r="K26" s="9"/>
      <c r="L26" s="9" t="s">
        <v>42</v>
      </c>
      <c r="M26" s="11" t="str">
        <f ca="1">IF(ActionTracker[[#This Row],[Action_Status]]="Completed","",IF(TODAY()&gt;ActionTracker[[#This Row],[Due_Date]],TODAY()-ActionTracker[[#This Row],[Due_Date]],""))</f>
        <v/>
      </c>
      <c r="N26" s="9" t="str">
        <f ca="1">IF(ActionTracker[[#This Row],[Action_Status]]="Completed","Complete",IF(ActionTracker[[#This Row],[Days_Overdue]]="","Green","Red"))</f>
        <v>Green</v>
      </c>
    </row>
    <row r="27" spans="1:14" ht="19.5" customHeight="1">
      <c r="A27" s="1" t="s">
        <v>233</v>
      </c>
      <c r="B27" s="1" t="s">
        <v>234</v>
      </c>
      <c r="C27" s="1" t="s">
        <v>19</v>
      </c>
      <c r="D27" s="1" t="s">
        <v>235</v>
      </c>
      <c r="E27" s="1" t="s">
        <v>53</v>
      </c>
      <c r="F27" s="9">
        <v>46193</v>
      </c>
      <c r="G27" s="9">
        <v>46213</v>
      </c>
      <c r="H27" s="1" t="s">
        <v>38</v>
      </c>
      <c r="I27" s="1" t="s">
        <v>91</v>
      </c>
      <c r="J27" s="1" t="s">
        <v>236</v>
      </c>
      <c r="K27" s="9">
        <v>46213</v>
      </c>
      <c r="L27" s="9" t="s">
        <v>41</v>
      </c>
      <c r="M27" s="11" t="str">
        <f ca="1">IF(ActionTracker[[#This Row],[Action_Status]]="Completed","",IF(TODAY()&gt;ActionTracker[[#This Row],[Due_Date]],TODAY()-ActionTracker[[#This Row],[Due_Date]],""))</f>
        <v/>
      </c>
      <c r="N27" s="9" t="str">
        <f>IF(ActionTracker[[#This Row],[Action_Status]]="Completed","Complete",IF(ActionTracker[[#This Row],[Days_Overdue]]="","Green","Red"))</f>
        <v>Complete</v>
      </c>
    </row>
    <row r="28" spans="1:14" ht="19.5" customHeight="1">
      <c r="A28" s="1" t="s">
        <v>253</v>
      </c>
      <c r="B28" s="1" t="s">
        <v>230</v>
      </c>
      <c r="C28" s="1" t="s">
        <v>18</v>
      </c>
      <c r="D28" s="1" t="s">
        <v>254</v>
      </c>
      <c r="E28" s="1" t="s">
        <v>52</v>
      </c>
      <c r="F28" s="9">
        <v>46174</v>
      </c>
      <c r="G28" s="9">
        <v>46181</v>
      </c>
      <c r="H28" s="1" t="s">
        <v>36</v>
      </c>
      <c r="I28" s="1" t="s">
        <v>77</v>
      </c>
      <c r="J28" s="1" t="s">
        <v>255</v>
      </c>
      <c r="K28" s="9"/>
      <c r="L28" s="9" t="s">
        <v>42</v>
      </c>
      <c r="M28" s="11" t="str">
        <f ca="1">IF(ActionTracker[[#This Row],[Action_Status]]="Completed","",IF(TODAY()&gt;ActionTracker[[#This Row],[Due_Date]],TODAY()-ActionTracker[[#This Row],[Due_Date]],""))</f>
        <v/>
      </c>
      <c r="N28" s="9" t="str">
        <f ca="1">IF(ActionTracker[[#This Row],[Action_Status]]="Completed","Complete",IF(ActionTracker[[#This Row],[Days_Overdue]]="","Green","Red"))</f>
        <v>Green</v>
      </c>
    </row>
    <row r="29" spans="1:14" ht="19.5" customHeight="1">
      <c r="A29" s="1" t="s">
        <v>256</v>
      </c>
      <c r="B29" s="1" t="s">
        <v>225</v>
      </c>
      <c r="C29" s="1" t="s">
        <v>17</v>
      </c>
      <c r="D29" s="1" t="s">
        <v>257</v>
      </c>
      <c r="E29" s="1" t="s">
        <v>51</v>
      </c>
      <c r="F29" s="9">
        <v>46193</v>
      </c>
      <c r="G29" s="9">
        <v>46218</v>
      </c>
      <c r="H29" s="1" t="s">
        <v>40</v>
      </c>
      <c r="I29" s="1" t="s">
        <v>84</v>
      </c>
      <c r="J29" s="1" t="s">
        <v>258</v>
      </c>
      <c r="K29" s="9"/>
      <c r="L29" s="9" t="s">
        <v>42</v>
      </c>
      <c r="M29" s="11" t="str">
        <f ca="1">IF(ActionTracker[[#This Row],[Action_Status]]="Completed","",IF(TODAY()&gt;ActionTracker[[#This Row],[Due_Date]],TODAY()-ActionTracker[[#This Row],[Due_Date]],""))</f>
        <v/>
      </c>
      <c r="N29" s="9" t="str">
        <f ca="1">IF(ActionTracker[[#This Row],[Action_Status]]="Completed","Complete",IF(ActionTracker[[#This Row],[Days_Overdue]]="","Green","Red"))</f>
        <v>Green</v>
      </c>
    </row>
    <row r="30" spans="1:14" ht="19.5" customHeight="1">
      <c r="A30" s="1" t="s">
        <v>259</v>
      </c>
      <c r="B30" s="1" t="s">
        <v>260</v>
      </c>
      <c r="C30" s="1" t="s">
        <v>20</v>
      </c>
      <c r="D30" s="1" t="s">
        <v>261</v>
      </c>
      <c r="E30" s="1" t="s">
        <v>54</v>
      </c>
      <c r="F30" s="9">
        <v>46194</v>
      </c>
      <c r="G30" s="9">
        <v>46221</v>
      </c>
      <c r="H30" s="1" t="s">
        <v>40</v>
      </c>
      <c r="I30" s="1" t="s">
        <v>91</v>
      </c>
      <c r="J30" s="1" t="s">
        <v>262</v>
      </c>
      <c r="K30" s="9"/>
      <c r="L30" s="9" t="s">
        <v>42</v>
      </c>
      <c r="M30" s="11" t="str">
        <f ca="1">IF(ActionTracker[[#This Row],[Action_Status]]="Completed","",IF(TODAY()&gt;ActionTracker[[#This Row],[Due_Date]],TODAY()-ActionTracker[[#This Row],[Due_Date]],""))</f>
        <v/>
      </c>
      <c r="N30" s="9" t="str">
        <f ca="1">IF(ActionTracker[[#This Row],[Action_Status]]="Completed","Complete",IF(ActionTracker[[#This Row],[Days_Overdue]]="","Green","Red"))</f>
        <v>Green</v>
      </c>
    </row>
  </sheetData>
  <mergeCells count="1">
    <mergeCell ref="A1:N1"/>
  </mergeCells>
  <phoneticPr fontId="4" type="noConversion"/>
  <conditionalFormatting sqref="H3:H30">
    <cfRule type="containsText" dxfId="6" priority="5" operator="containsText" text="Not Started">
      <formula>NOT(ISERROR(SEARCH("Not Started",H3)))</formula>
    </cfRule>
    <cfRule type="containsText" dxfId="5" priority="6" operator="containsText" text="Pending">
      <formula>NOT(ISERROR(SEARCH("Pending",H3)))</formula>
    </cfRule>
    <cfRule type="containsText" dxfId="4" priority="7" operator="containsText" text="In Progress">
      <formula>NOT(ISERROR(SEARCH("In Progress",H3)))</formula>
    </cfRule>
  </conditionalFormatting>
  <conditionalFormatting sqref="H8:H30">
    <cfRule type="containsText" dxfId="3" priority="4" operator="containsText" text="Completed">
      <formula>NOT(ISERROR(SEARCH("Completed",H8)))</formula>
    </cfRule>
  </conditionalFormatting>
  <conditionalFormatting sqref="N3:N30">
    <cfRule type="containsText" dxfId="2" priority="1" operator="containsText" text="Complete">
      <formula>NOT(ISERROR(SEARCH("Complete",N3)))</formula>
    </cfRule>
    <cfRule type="containsText" dxfId="1" priority="2" operator="containsText" text="Green">
      <formula>NOT(ISERROR(SEARCH("Green",N3)))</formula>
    </cfRule>
    <cfRule type="containsText" dxfId="0" priority="3" operator="containsText" text="Red">
      <formula>NOT(ISERROR(SEARCH("Red",N3)))</formula>
    </cfRule>
  </conditionalFormatting>
  <dataValidations count="1">
    <dataValidation type="list" allowBlank="1" showInputMessage="1" showErrorMessage="1" sqref="L3:L27" xr:uid="{1AE7ED3B-4242-40A9-BB9D-04FB87B3630B}">
      <formula1>"Yes, 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3E52-6EE5-4A3D-B12A-67B7FF76DA1A}">
  <sheetPr>
    <tabColor theme="9" tint="0.59999389629810485"/>
  </sheetPr>
  <dimension ref="A1:H9"/>
  <sheetViews>
    <sheetView workbookViewId="0">
      <pane ySplit="2" topLeftCell="A3" activePane="bottomLeft" state="frozen"/>
      <selection pane="bottomLeft" activeCell="C14" sqref="C14"/>
    </sheetView>
  </sheetViews>
  <sheetFormatPr defaultRowHeight="15"/>
  <cols>
    <col min="1" max="1" width="11.28515625" style="3" bestFit="1" customWidth="1"/>
    <col min="2" max="2" width="31.42578125" style="3" bestFit="1" customWidth="1"/>
    <col min="3" max="3" width="18.140625" style="5" bestFit="1" customWidth="1"/>
    <col min="4" max="4" width="19.140625" style="3" bestFit="1" customWidth="1"/>
    <col min="5" max="5" width="24.7109375" style="3" bestFit="1" customWidth="1"/>
    <col min="6" max="6" width="11.28515625" style="3" bestFit="1" customWidth="1"/>
    <col min="7" max="7" width="17.28515625" style="3" bestFit="1" customWidth="1"/>
    <col min="8" max="8" width="30.5703125" style="3" bestFit="1" customWidth="1"/>
  </cols>
  <sheetData>
    <row r="1" spans="1:8" ht="23.25">
      <c r="A1" s="23" t="s">
        <v>100</v>
      </c>
      <c r="B1" s="23"/>
      <c r="C1" s="23"/>
      <c r="D1" s="23"/>
      <c r="E1" s="23"/>
      <c r="F1" s="23"/>
      <c r="G1" s="23"/>
      <c r="H1" s="23"/>
    </row>
    <row r="2" spans="1:8">
      <c r="A2" s="3" t="s">
        <v>101</v>
      </c>
      <c r="B2" s="3" t="s">
        <v>1</v>
      </c>
      <c r="C2" s="5" t="s">
        <v>3</v>
      </c>
      <c r="D2" s="3" t="s">
        <v>2</v>
      </c>
      <c r="E2" s="3" t="s">
        <v>102</v>
      </c>
      <c r="F2" s="3" t="s">
        <v>103</v>
      </c>
      <c r="G2" s="3" t="s">
        <v>12</v>
      </c>
      <c r="H2" s="3" t="s">
        <v>15</v>
      </c>
    </row>
    <row r="3" spans="1:8" ht="21" customHeight="1">
      <c r="A3" s="7">
        <v>46143</v>
      </c>
      <c r="B3" s="3" t="s">
        <v>16</v>
      </c>
      <c r="C3" s="5">
        <v>46162</v>
      </c>
      <c r="D3" s="3" t="s">
        <v>30</v>
      </c>
      <c r="E3" s="3" t="s">
        <v>104</v>
      </c>
      <c r="F3" s="3" t="s">
        <v>35</v>
      </c>
      <c r="G3" s="3" t="s">
        <v>51</v>
      </c>
      <c r="H3" s="3" t="s">
        <v>105</v>
      </c>
    </row>
    <row r="4" spans="1:8" ht="21" customHeight="1">
      <c r="A4" s="7">
        <v>46143</v>
      </c>
      <c r="B4" s="3" t="s">
        <v>17</v>
      </c>
      <c r="C4" s="5">
        <v>46163</v>
      </c>
      <c r="D4" s="3" t="s">
        <v>31</v>
      </c>
      <c r="E4" s="3" t="s">
        <v>106</v>
      </c>
      <c r="F4" s="3" t="s">
        <v>36</v>
      </c>
      <c r="G4" s="3" t="s">
        <v>51</v>
      </c>
      <c r="H4" s="3" t="s">
        <v>107</v>
      </c>
    </row>
    <row r="5" spans="1:8" ht="21" customHeight="1">
      <c r="A5" s="7">
        <v>46143</v>
      </c>
      <c r="B5" s="3" t="s">
        <v>18</v>
      </c>
      <c r="C5" s="5">
        <v>46167</v>
      </c>
      <c r="D5" s="3" t="s">
        <v>32</v>
      </c>
      <c r="E5" s="3" t="s">
        <v>108</v>
      </c>
      <c r="F5" s="3" t="s">
        <v>35</v>
      </c>
      <c r="G5" s="3" t="s">
        <v>52</v>
      </c>
      <c r="H5" s="3" t="s">
        <v>109</v>
      </c>
    </row>
    <row r="6" spans="1:8" ht="21" customHeight="1">
      <c r="A6" s="7">
        <v>46143</v>
      </c>
      <c r="B6" s="3" t="s">
        <v>19</v>
      </c>
      <c r="C6" s="5">
        <v>46170</v>
      </c>
      <c r="D6" s="3" t="s">
        <v>32</v>
      </c>
      <c r="E6" s="3" t="s">
        <v>110</v>
      </c>
      <c r="F6" s="3" t="s">
        <v>35</v>
      </c>
      <c r="G6" s="3" t="s">
        <v>53</v>
      </c>
      <c r="H6" s="3" t="s">
        <v>111</v>
      </c>
    </row>
    <row r="7" spans="1:8" ht="21" customHeight="1">
      <c r="A7" s="7">
        <v>46143</v>
      </c>
      <c r="B7" s="3" t="s">
        <v>20</v>
      </c>
      <c r="C7" s="5">
        <v>46171</v>
      </c>
      <c r="D7" s="3" t="s">
        <v>33</v>
      </c>
      <c r="E7" s="3" t="s">
        <v>112</v>
      </c>
      <c r="F7" s="3" t="s">
        <v>39</v>
      </c>
      <c r="G7" s="3" t="s">
        <v>54</v>
      </c>
      <c r="H7" s="3" t="s">
        <v>113</v>
      </c>
    </row>
    <row r="8" spans="1:8" ht="21" customHeight="1">
      <c r="A8" s="7">
        <v>46174</v>
      </c>
      <c r="B8" s="3" t="s">
        <v>21</v>
      </c>
      <c r="C8" s="5">
        <v>46176</v>
      </c>
      <c r="D8" s="3" t="s">
        <v>32</v>
      </c>
      <c r="E8" s="3" t="s">
        <v>114</v>
      </c>
      <c r="F8" s="3" t="s">
        <v>35</v>
      </c>
      <c r="G8" s="3" t="s">
        <v>55</v>
      </c>
      <c r="H8" s="3" t="s">
        <v>115</v>
      </c>
    </row>
    <row r="9" spans="1:8" ht="21" customHeight="1">
      <c r="A9" s="7">
        <v>46174</v>
      </c>
      <c r="B9" s="3" t="s">
        <v>22</v>
      </c>
      <c r="C9" s="5">
        <v>46183</v>
      </c>
      <c r="D9" s="3" t="s">
        <v>34</v>
      </c>
      <c r="E9" s="3" t="s">
        <v>116</v>
      </c>
      <c r="F9" s="3" t="s">
        <v>37</v>
      </c>
      <c r="G9" s="3" t="s">
        <v>56</v>
      </c>
      <c r="H9" s="3" t="s">
        <v>117</v>
      </c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DA5B-C439-4C9E-838C-255F9D6C7B0C}">
  <sheetPr>
    <tabColor theme="8" tint="-0.249977111117893"/>
  </sheetPr>
  <dimension ref="A1:G9"/>
  <sheetViews>
    <sheetView workbookViewId="0">
      <pane ySplit="2" topLeftCell="A3" activePane="bottomLeft" state="frozen"/>
      <selection pane="bottomLeft" activeCell="A3" sqref="A3:XFD9"/>
    </sheetView>
  </sheetViews>
  <sheetFormatPr defaultRowHeight="15"/>
  <cols>
    <col min="1" max="1" width="31.42578125" style="3" bestFit="1" customWidth="1"/>
    <col min="2" max="2" width="21.85546875" style="3" bestFit="1" customWidth="1"/>
    <col min="3" max="3" width="23.42578125" style="3" bestFit="1" customWidth="1"/>
    <col min="4" max="4" width="17.28515625" style="3" bestFit="1" customWidth="1"/>
    <col min="5" max="5" width="23.42578125" style="3" bestFit="1" customWidth="1"/>
    <col min="6" max="6" width="24.140625" style="3" bestFit="1" customWidth="1"/>
    <col min="7" max="7" width="11.28515625" style="3" bestFit="1" customWidth="1"/>
    <col min="8" max="8" width="24.7109375" customWidth="1"/>
  </cols>
  <sheetData>
    <row r="1" spans="1:7" ht="23.25">
      <c r="A1" s="23" t="s">
        <v>118</v>
      </c>
      <c r="B1" s="23"/>
      <c r="C1" s="23"/>
      <c r="D1" s="23"/>
      <c r="E1" s="23"/>
      <c r="F1" s="23"/>
      <c r="G1" s="23"/>
    </row>
    <row r="2" spans="1:7">
      <c r="A2" s="3" t="s">
        <v>1</v>
      </c>
      <c r="B2" s="3" t="s">
        <v>119</v>
      </c>
      <c r="C2" s="3" t="s">
        <v>120</v>
      </c>
      <c r="D2" s="3" t="s">
        <v>12</v>
      </c>
      <c r="E2" s="3" t="s">
        <v>121</v>
      </c>
      <c r="F2" s="3" t="s">
        <v>122</v>
      </c>
      <c r="G2" s="3" t="s">
        <v>103</v>
      </c>
    </row>
    <row r="3" spans="1:7" ht="24" customHeight="1">
      <c r="A3" s="3" t="s">
        <v>16</v>
      </c>
      <c r="B3" s="3" t="s">
        <v>123</v>
      </c>
      <c r="C3" s="3" t="s">
        <v>44</v>
      </c>
      <c r="D3" s="3" t="s">
        <v>51</v>
      </c>
      <c r="E3" s="3" t="s">
        <v>124</v>
      </c>
      <c r="F3" s="3" t="s">
        <v>125</v>
      </c>
      <c r="G3" s="3" t="s">
        <v>126</v>
      </c>
    </row>
    <row r="4" spans="1:7" ht="24" customHeight="1">
      <c r="A4" s="3" t="s">
        <v>17</v>
      </c>
      <c r="B4" s="3" t="s">
        <v>127</v>
      </c>
      <c r="C4" s="3" t="s">
        <v>45</v>
      </c>
      <c r="D4" s="3" t="s">
        <v>51</v>
      </c>
      <c r="E4" s="3" t="s">
        <v>128</v>
      </c>
      <c r="F4" s="3" t="s">
        <v>16</v>
      </c>
      <c r="G4" s="3" t="s">
        <v>126</v>
      </c>
    </row>
    <row r="5" spans="1:7" ht="24" customHeight="1">
      <c r="A5" s="3" t="s">
        <v>18</v>
      </c>
      <c r="B5" s="3" t="s">
        <v>129</v>
      </c>
      <c r="C5" s="3" t="s">
        <v>46</v>
      </c>
      <c r="D5" s="3" t="s">
        <v>52</v>
      </c>
      <c r="E5" s="3" t="s">
        <v>124</v>
      </c>
      <c r="F5" s="3" t="s">
        <v>16</v>
      </c>
      <c r="G5" s="3" t="s">
        <v>126</v>
      </c>
    </row>
    <row r="6" spans="1:7" ht="24" customHeight="1">
      <c r="A6" s="3" t="s">
        <v>19</v>
      </c>
      <c r="B6" s="3" t="s">
        <v>130</v>
      </c>
      <c r="C6" s="3" t="s">
        <v>47</v>
      </c>
      <c r="D6" s="3" t="s">
        <v>53</v>
      </c>
      <c r="E6" s="3" t="s">
        <v>128</v>
      </c>
      <c r="F6" s="3" t="s">
        <v>17</v>
      </c>
      <c r="G6" s="3" t="s">
        <v>126</v>
      </c>
    </row>
    <row r="7" spans="1:7" ht="24" customHeight="1">
      <c r="A7" s="3" t="s">
        <v>20</v>
      </c>
      <c r="B7" s="3" t="s">
        <v>131</v>
      </c>
      <c r="C7" s="3" t="s">
        <v>48</v>
      </c>
      <c r="D7" s="3" t="s">
        <v>54</v>
      </c>
      <c r="E7" s="3" t="s">
        <v>128</v>
      </c>
      <c r="F7" s="3" t="s">
        <v>17</v>
      </c>
      <c r="G7" s="3" t="s">
        <v>126</v>
      </c>
    </row>
    <row r="8" spans="1:7" ht="24" customHeight="1">
      <c r="A8" s="3" t="s">
        <v>21</v>
      </c>
      <c r="B8" s="3" t="s">
        <v>132</v>
      </c>
      <c r="C8" s="3" t="s">
        <v>49</v>
      </c>
      <c r="D8" s="3" t="s">
        <v>55</v>
      </c>
      <c r="E8" s="3" t="s">
        <v>124</v>
      </c>
      <c r="F8" s="3" t="s">
        <v>16</v>
      </c>
      <c r="G8" s="3" t="s">
        <v>126</v>
      </c>
    </row>
    <row r="9" spans="1:7" ht="24" customHeight="1">
      <c r="A9" s="3" t="s">
        <v>22</v>
      </c>
      <c r="B9" s="3" t="s">
        <v>133</v>
      </c>
      <c r="C9" s="3" t="s">
        <v>50</v>
      </c>
      <c r="D9" s="3" t="s">
        <v>56</v>
      </c>
      <c r="E9" s="3" t="s">
        <v>134</v>
      </c>
      <c r="F9" s="3" t="s">
        <v>17</v>
      </c>
      <c r="G9" s="3" t="s">
        <v>126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CFFA-07A7-406B-A7CE-EF542D6DBD20}">
  <sheetPr>
    <tabColor theme="2" tint="-0.249977111117893"/>
  </sheetPr>
  <dimension ref="A1:F8"/>
  <sheetViews>
    <sheetView tabSelected="1" workbookViewId="0">
      <selection activeCell="C31" sqref="C31"/>
    </sheetView>
  </sheetViews>
  <sheetFormatPr defaultRowHeight="15"/>
  <cols>
    <col min="1" max="1" width="17.28515625" style="3" bestFit="1" customWidth="1"/>
    <col min="2" max="2" width="16.5703125" style="3" bestFit="1" customWidth="1"/>
    <col min="3" max="3" width="26.140625" style="3" customWidth="1"/>
    <col min="4" max="4" width="19.85546875" style="3" customWidth="1"/>
    <col min="5" max="5" width="15" style="3" customWidth="1"/>
    <col min="6" max="6" width="10" style="3" bestFit="1" customWidth="1"/>
  </cols>
  <sheetData>
    <row r="1" spans="1:6" ht="23.25">
      <c r="A1" s="23" t="s">
        <v>140</v>
      </c>
      <c r="B1" s="23"/>
      <c r="C1" s="23"/>
      <c r="D1" s="23"/>
      <c r="E1" s="23"/>
      <c r="F1" s="23"/>
    </row>
    <row r="2" spans="1:6">
      <c r="A2" s="3" t="s">
        <v>5</v>
      </c>
      <c r="B2" s="3" t="s">
        <v>7</v>
      </c>
      <c r="C2" s="3" t="s">
        <v>9</v>
      </c>
      <c r="D2" s="3" t="s">
        <v>71</v>
      </c>
      <c r="E2" s="3" t="s">
        <v>72</v>
      </c>
      <c r="F2" s="3" t="s">
        <v>135</v>
      </c>
    </row>
    <row r="3" spans="1:6" ht="24" customHeight="1">
      <c r="A3" s="3" t="s">
        <v>35</v>
      </c>
      <c r="B3" s="3" t="s">
        <v>40</v>
      </c>
      <c r="C3" s="3" t="s">
        <v>40</v>
      </c>
      <c r="D3" s="3" t="s">
        <v>40</v>
      </c>
      <c r="E3" s="3" t="s">
        <v>77</v>
      </c>
      <c r="F3" s="3" t="s">
        <v>41</v>
      </c>
    </row>
    <row r="4" spans="1:6" ht="24" customHeight="1">
      <c r="A4" s="3" t="s">
        <v>37</v>
      </c>
      <c r="B4" s="3" t="s">
        <v>39</v>
      </c>
      <c r="C4" s="3" t="s">
        <v>39</v>
      </c>
      <c r="D4" s="3" t="s">
        <v>39</v>
      </c>
      <c r="E4" s="3" t="s">
        <v>84</v>
      </c>
      <c r="F4" s="3" t="s">
        <v>42</v>
      </c>
    </row>
    <row r="5" spans="1:6" ht="24" customHeight="1">
      <c r="A5" s="3" t="s">
        <v>36</v>
      </c>
      <c r="B5" s="3" t="s">
        <v>36</v>
      </c>
      <c r="C5" s="3" t="s">
        <v>43</v>
      </c>
      <c r="D5" s="3" t="s">
        <v>36</v>
      </c>
      <c r="E5" s="3" t="s">
        <v>91</v>
      </c>
    </row>
    <row r="6" spans="1:6" ht="24" customHeight="1">
      <c r="A6" s="3" t="s">
        <v>38</v>
      </c>
      <c r="B6" s="3" t="s">
        <v>38</v>
      </c>
      <c r="C6" s="3" t="s">
        <v>138</v>
      </c>
      <c r="D6" s="3" t="s">
        <v>38</v>
      </c>
    </row>
    <row r="7" spans="1:6" ht="24" customHeight="1">
      <c r="A7" s="3" t="s">
        <v>136</v>
      </c>
      <c r="B7" s="3" t="s">
        <v>138</v>
      </c>
      <c r="C7" s="3" t="s">
        <v>57</v>
      </c>
      <c r="D7" s="3" t="s">
        <v>139</v>
      </c>
    </row>
    <row r="8" spans="1:6" ht="24" customHeight="1">
      <c r="A8" s="3" t="s">
        <v>137</v>
      </c>
      <c r="D8" s="3" t="s">
        <v>137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Executive_Dashboard</vt:lpstr>
      <vt:lpstr>Master_Tracker</vt:lpstr>
      <vt:lpstr>Action_Tracker</vt:lpstr>
      <vt:lpstr>Meeting_Calendar</vt:lpstr>
      <vt:lpstr>Committee_Register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Dunphy - STUDENT</dc:creator>
  <cp:lastModifiedBy>Elizabeth Dunphy - STUDENT</cp:lastModifiedBy>
  <cp:lastPrinted>2026-05-20T17:40:26Z</cp:lastPrinted>
  <dcterms:created xsi:type="dcterms:W3CDTF">2026-05-17T11:51:55Z</dcterms:created>
  <dcterms:modified xsi:type="dcterms:W3CDTF">2026-05-21T17:56:11Z</dcterms:modified>
</cp:coreProperties>
</file>